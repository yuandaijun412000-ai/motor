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6ac63877b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4cc854298af04914"/>
    <x:sheet xmlns:r="http://schemas.openxmlformats.org/officeDocument/2006/relationships" name="计算结果" sheetId="2" r:id="R65218e872b494ead"/>
    <x:sheet xmlns:r="http://schemas.openxmlformats.org/officeDocument/2006/relationships" name="权重" sheetId="3" r:id="R0438f6e8d441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0.000"/>
    <x:numFmt numFmtId="203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horizontal="right"/>
    </x:xf>
    <x:xf numFmtId="202" fontId="0" fillId="0" borderId="2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202" fontId="0" fillId="0" borderId="3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e2d790e02467b" /><Relationship Type="http://schemas.openxmlformats.org/officeDocument/2006/relationships/theme" Target="/xl/theme/theme1.xml" Id="R501b6a4bfa884346" /><Relationship Type="http://schemas.openxmlformats.org/officeDocument/2006/relationships/sharedStrings" Target="/xl/sharedStrings.xml" Id="Rf703977660c84775" /><Relationship Type="http://schemas.openxmlformats.org/officeDocument/2006/relationships/worksheet" Target="/xl/worksheets/sheet1.xml" Id="R4cc854298af04914" /><Relationship Type="http://schemas.openxmlformats.org/officeDocument/2006/relationships/worksheet" Target="/xl/worksheets/sheet2.xml" Id="R65218e872b494ead" /><Relationship Type="http://schemas.openxmlformats.org/officeDocument/2006/relationships/worksheet" Target="/xl/worksheets/sheet3.xml" Id="R0438f6e8d44145c6" /></Relationships>
</file>

<file path=xl/tables/table1.xml><?xml version="1.0" encoding="utf-8"?>
<x:table xmlns:x="http://schemas.openxmlformats.org/spreadsheetml/2006/main" id="1" name="ForceSummaryTable" displayName="ForceSummaryTable" ref="A1:D257" headerRowCount="1" totalsRowCount="0" totalsRowShown="0">
  <x:autoFilter ref="A1:D257"/>
  <x:tableColumns count="4">
    <x:tableColumn id="1" name="lpm [mm]"/>
    <x:tableColumn id="2" name="stator_lpm [mm]"/>
    <x:tableColumn id="3" name="推力波动 |F(a=0)-F(a=-10)| [N]"/>
    <x:tableColumn id="4" name="加权平均推力 70%*F(a=0)+30%*F(a=-10) [N]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ebe812cde54b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</x:cols>
  <x:sheetData>
    <x:row r="1">
      <x:c r="A1" s="34" t="str">
        <x:v>lpm [mm]</x:v>
      </x:c>
      <x:c r="B1" s="34" t="str">
        <x:v>stator_lpm [mm]</x:v>
      </x:c>
      <x:c r="C1" s="34" t="str">
        <x:v>a [mm]</x:v>
      </x:c>
      <x:c r="D1" s="34" t="str">
        <x:v>Force_move.Force_z [newton]</x:v>
      </x:c>
    </x:row>
    <x:row r="2">
      <x:c r="A2" s="16" t="n">
        <x:v>10</x:v>
      </x:c>
      <x:c r="B2" s="16" t="n">
        <x:v>10</x:v>
      </x:c>
      <x:c r="C2" s="16" t="n">
        <x:v>-10</x:v>
      </x:c>
      <x:c r="D2" s="36" t="n">
        <x:v>6.20060413713499</x:v>
      </x:c>
    </x:row>
    <x:row r="3">
      <x:c r="A3" s="16" t="n">
        <x:v>10</x:v>
      </x:c>
      <x:c r="B3" s="16" t="n">
        <x:v>10</x:v>
      </x:c>
      <x:c r="C3" s="16" t="n">
        <x:v>0</x:v>
      </x:c>
      <x:c r="D3" s="36" t="n">
        <x:v>12.1792931187505</x:v>
      </x:c>
    </x:row>
    <x:row r="4">
      <x:c r="A4" s="16" t="n">
        <x:v>10</x:v>
      </x:c>
      <x:c r="B4" s="16" t="n">
        <x:v>12</x:v>
      </x:c>
      <x:c r="C4" s="16" t="n">
        <x:v>-10</x:v>
      </x:c>
      <x:c r="D4" s="36" t="n">
        <x:v>2.05673710760879</x:v>
      </x:c>
    </x:row>
    <x:row r="5">
      <x:c r="A5" s="16" t="n">
        <x:v>10</x:v>
      </x:c>
      <x:c r="B5" s="16" t="n">
        <x:v>12</x:v>
      </x:c>
      <x:c r="C5" s="16" t="n">
        <x:v>0</x:v>
      </x:c>
      <x:c r="D5" s="36" t="n">
        <x:v>12.042216999252</x:v>
      </x:c>
    </x:row>
    <x:row r="6">
      <x:c r="A6" s="16" t="n">
        <x:v>10</x:v>
      </x:c>
      <x:c r="B6" s="16" t="n">
        <x:v>14</x:v>
      </x:c>
      <x:c r="C6" s="16" t="n">
        <x:v>-10</x:v>
      </x:c>
      <x:c r="D6" s="36" t="n">
        <x:v>-1.50828424872758</x:v>
      </x:c>
    </x:row>
    <x:row r="7">
      <x:c r="A7" s="16" t="n">
        <x:v>10</x:v>
      </x:c>
      <x:c r="B7" s="16" t="n">
        <x:v>14</x:v>
      </x:c>
      <x:c r="C7" s="16" t="n">
        <x:v>0</x:v>
      </x:c>
      <x:c r="D7" s="36" t="n">
        <x:v>12.0240060084338</x:v>
      </x:c>
    </x:row>
    <x:row r="8">
      <x:c r="A8" s="16" t="n">
        <x:v>10</x:v>
      </x:c>
      <x:c r="B8" s="16" t="n">
        <x:v>16</x:v>
      </x:c>
      <x:c r="C8" s="16" t="n">
        <x:v>-10</x:v>
      </x:c>
      <x:c r="D8" s="36" t="n">
        <x:v>-0.793573051224353</x:v>
      </x:c>
    </x:row>
    <x:row r="9">
      <x:c r="A9" s="16" t="n">
        <x:v>10</x:v>
      </x:c>
      <x:c r="B9" s="16" t="n">
        <x:v>16</x:v>
      </x:c>
      <x:c r="C9" s="16" t="n">
        <x:v>0</x:v>
      </x:c>
      <x:c r="D9" s="36" t="n">
        <x:v>12.026711057004</x:v>
      </x:c>
    </x:row>
    <x:row r="10">
      <x:c r="A10" s="16" t="n">
        <x:v>10</x:v>
      </x:c>
      <x:c r="B10" s="16" t="n">
        <x:v>18</x:v>
      </x:c>
      <x:c r="C10" s="16" t="n">
        <x:v>-10</x:v>
      </x:c>
      <x:c r="D10" s="36" t="n">
        <x:v>-1.08600909112299</x:v>
      </x:c>
    </x:row>
    <x:row r="11">
      <x:c r="A11" s="16" t="n">
        <x:v>10</x:v>
      </x:c>
      <x:c r="B11" s="16" t="n">
        <x:v>18</x:v>
      </x:c>
      <x:c r="C11" s="16" t="n">
        <x:v>0</x:v>
      </x:c>
      <x:c r="D11" s="36" t="n">
        <x:v>12.0184865875601</x:v>
      </x:c>
    </x:row>
    <x:row r="12">
      <x:c r="A12" s="16" t="n">
        <x:v>10</x:v>
      </x:c>
      <x:c r="B12" s="16" t="n">
        <x:v>20</x:v>
      </x:c>
      <x:c r="C12" s="16" t="n">
        <x:v>-10</x:v>
      </x:c>
      <x:c r="D12" s="36" t="n">
        <x:v>-1.21246942178219</x:v>
      </x:c>
    </x:row>
    <x:row r="13">
      <x:c r="A13" s="16" t="n">
        <x:v>10</x:v>
      </x:c>
      <x:c r="B13" s="16" t="n">
        <x:v>20</x:v>
      </x:c>
      <x:c r="C13" s="16" t="n">
        <x:v>0</x:v>
      </x:c>
      <x:c r="D13" s="36" t="n">
        <x:v>11.9930895576118</x:v>
      </x:c>
    </x:row>
    <x:row r="14">
      <x:c r="A14" s="16" t="n">
        <x:v>10</x:v>
      </x:c>
      <x:c r="B14" s="16" t="n">
        <x:v>22</x:v>
      </x:c>
      <x:c r="C14" s="16" t="n">
        <x:v>-10</x:v>
      </x:c>
      <x:c r="D14" s="36" t="n">
        <x:v>-1.12359838909901</x:v>
      </x:c>
    </x:row>
    <x:row r="15">
      <x:c r="A15" s="16" t="n">
        <x:v>10</x:v>
      </x:c>
      <x:c r="B15" s="16" t="n">
        <x:v>22</x:v>
      </x:c>
      <x:c r="C15" s="16" t="n">
        <x:v>0</x:v>
      </x:c>
      <x:c r="D15" s="36" t="n">
        <x:v>12.0369949297546</x:v>
      </x:c>
    </x:row>
    <x:row r="16">
      <x:c r="A16" s="16" t="n">
        <x:v>10</x:v>
      </x:c>
      <x:c r="B16" s="16" t="n">
        <x:v>24</x:v>
      </x:c>
      <x:c r="C16" s="16" t="n">
        <x:v>-10</x:v>
      </x:c>
      <x:c r="D16" s="36" t="n">
        <x:v>-1.03287918518698</x:v>
      </x:c>
    </x:row>
    <x:row r="17">
      <x:c r="A17" s="16" t="n">
        <x:v>10</x:v>
      </x:c>
      <x:c r="B17" s="16" t="n">
        <x:v>24</x:v>
      </x:c>
      <x:c r="C17" s="16" t="n">
        <x:v>0</x:v>
      </x:c>
      <x:c r="D17" s="36" t="n">
        <x:v>12.0353832253696</x:v>
      </x:c>
    </x:row>
    <x:row r="18">
      <x:c r="A18" s="16" t="n">
        <x:v>10</x:v>
      </x:c>
      <x:c r="B18" s="16" t="n">
        <x:v>26</x:v>
      </x:c>
      <x:c r="C18" s="16" t="n">
        <x:v>-10</x:v>
      </x:c>
      <x:c r="D18" s="36" t="n">
        <x:v>-0.928926053408546</x:v>
      </x:c>
    </x:row>
    <x:row r="19">
      <x:c r="A19" s="16" t="n">
        <x:v>10</x:v>
      </x:c>
      <x:c r="B19" s="16" t="n">
        <x:v>26</x:v>
      </x:c>
      <x:c r="C19" s="16" t="n">
        <x:v>0</x:v>
      </x:c>
      <x:c r="D19" s="36" t="n">
        <x:v>12.0799920527788</x:v>
      </x:c>
    </x:row>
    <x:row r="20">
      <x:c r="A20" s="16" t="n">
        <x:v>10</x:v>
      </x:c>
      <x:c r="B20" s="16" t="n">
        <x:v>28</x:v>
      </x:c>
      <x:c r="C20" s="16" t="n">
        <x:v>-10</x:v>
      </x:c>
      <x:c r="D20" s="36" t="n">
        <x:v>0.336326895139117</x:v>
      </x:c>
    </x:row>
    <x:row r="21">
      <x:c r="A21" s="16" t="n">
        <x:v>10</x:v>
      </x:c>
      <x:c r="B21" s="16" t="n">
        <x:v>28</x:v>
      </x:c>
      <x:c r="C21" s="16" t="n">
        <x:v>0</x:v>
      </x:c>
      <x:c r="D21" s="36" t="n">
        <x:v>12.1184360369493</x:v>
      </x:c>
    </x:row>
    <x:row r="22">
      <x:c r="A22" s="16" t="n">
        <x:v>10</x:v>
      </x:c>
      <x:c r="B22" s="16" t="n">
        <x:v>30</x:v>
      </x:c>
      <x:c r="C22" s="16" t="n">
        <x:v>-10</x:v>
      </x:c>
      <x:c r="D22" s="36" t="n">
        <x:v>1.48199239374977</x:v>
      </x:c>
    </x:row>
    <x:row r="23">
      <x:c r="A23" s="16" t="n">
        <x:v>10</x:v>
      </x:c>
      <x:c r="B23" s="16" t="n">
        <x:v>30</x:v>
      </x:c>
      <x:c r="C23" s="16" t="n">
        <x:v>0</x:v>
      </x:c>
      <x:c r="D23" s="36" t="n">
        <x:v>12.2047372179838</x:v>
      </x:c>
    </x:row>
    <x:row r="24">
      <x:c r="A24" s="16" t="n">
        <x:v>10</x:v>
      </x:c>
      <x:c r="B24" s="16" t="n">
        <x:v>32</x:v>
      </x:c>
      <x:c r="C24" s="16" t="n">
        <x:v>-10</x:v>
      </x:c>
      <x:c r="D24" s="36" t="n">
        <x:v>2.20381986156693</x:v>
      </x:c>
    </x:row>
    <x:row r="25">
      <x:c r="A25" s="16" t="n">
        <x:v>10</x:v>
      </x:c>
      <x:c r="B25" s="16" t="n">
        <x:v>32</x:v>
      </x:c>
      <x:c r="C25" s="16" t="n">
        <x:v>0</x:v>
      </x:c>
      <x:c r="D25" s="36" t="n">
        <x:v>12.3092917368707</x:v>
      </x:c>
    </x:row>
    <x:row r="26">
      <x:c r="A26" s="16" t="n">
        <x:v>10</x:v>
      </x:c>
      <x:c r="B26" s="16" t="n">
        <x:v>34</x:v>
      </x:c>
      <x:c r="C26" s="16" t="n">
        <x:v>-10</x:v>
      </x:c>
      <x:c r="D26" s="36" t="n">
        <x:v>2.71422242576062</x:v>
      </x:c>
    </x:row>
    <x:row r="27">
      <x:c r="A27" s="16" t="n">
        <x:v>10</x:v>
      </x:c>
      <x:c r="B27" s="16" t="n">
        <x:v>34</x:v>
      </x:c>
      <x:c r="C27" s="16" t="n">
        <x:v>0</x:v>
      </x:c>
      <x:c r="D27" s="36" t="n">
        <x:v>11.9179441349455</x:v>
      </x:c>
    </x:row>
    <x:row r="28">
      <x:c r="A28" s="16" t="n">
        <x:v>10</x:v>
      </x:c>
      <x:c r="B28" s="16" t="n">
        <x:v>36</x:v>
      </x:c>
      <x:c r="C28" s="16" t="n">
        <x:v>-10</x:v>
      </x:c>
      <x:c r="D28" s="36" t="n">
        <x:v>3.03794046870792</x:v>
      </x:c>
    </x:row>
    <x:row r="29">
      <x:c r="A29" s="16" t="n">
        <x:v>10</x:v>
      </x:c>
      <x:c r="B29" s="16" t="n">
        <x:v>36</x:v>
      </x:c>
      <x:c r="C29" s="16" t="n">
        <x:v>0</x:v>
      </x:c>
      <x:c r="D29" s="36" t="n">
        <x:v>8.81701378205984</x:v>
      </x:c>
    </x:row>
    <x:row r="30">
      <x:c r="A30" s="16" t="n">
        <x:v>10</x:v>
      </x:c>
      <x:c r="B30" s="16" t="n">
        <x:v>38</x:v>
      </x:c>
      <x:c r="C30" s="16" t="n">
        <x:v>-10</x:v>
      </x:c>
      <x:c r="D30" s="36" t="n">
        <x:v>3.23223106493818</x:v>
      </x:c>
    </x:row>
    <x:row r="31">
      <x:c r="A31" s="16" t="n">
        <x:v>10</x:v>
      </x:c>
      <x:c r="B31" s="16" t="n">
        <x:v>38</x:v>
      </x:c>
      <x:c r="C31" s="16" t="n">
        <x:v>0</x:v>
      </x:c>
      <x:c r="D31" s="36" t="n">
        <x:v>5.58347903067024</x:v>
      </x:c>
    </x:row>
    <x:row r="32">
      <x:c r="A32" s="16" t="n">
        <x:v>10</x:v>
      </x:c>
      <x:c r="B32" s="16" t="n">
        <x:v>40</x:v>
      </x:c>
      <x:c r="C32" s="16" t="n">
        <x:v>-10</x:v>
      </x:c>
      <x:c r="D32" s="36" t="n">
        <x:v>3.25659879010548</x:v>
      </x:c>
    </x:row>
    <x:row r="33">
      <x:c r="A33" s="16" t="n">
        <x:v>10</x:v>
      </x:c>
      <x:c r="B33" s="16" t="n">
        <x:v>40</x:v>
      </x:c>
      <x:c r="C33" s="16" t="n">
        <x:v>0</x:v>
      </x:c>
      <x:c r="D33" s="36" t="n">
        <x:v>3.43463866730676</x:v>
      </x:c>
    </x:row>
    <x:row r="34">
      <x:c r="A34" s="16" t="n">
        <x:v>12</x:v>
      </x:c>
      <x:c r="B34" s="16" t="n">
        <x:v>10</x:v>
      </x:c>
      <x:c r="C34" s="16" t="n">
        <x:v>-10</x:v>
      </x:c>
      <x:c r="D34" s="36" t="n">
        <x:v>6.76917936371009</x:v>
      </x:c>
    </x:row>
    <x:row r="35">
      <x:c r="A35" s="16" t="n">
        <x:v>12</x:v>
      </x:c>
      <x:c r="B35" s="16" t="n">
        <x:v>10</x:v>
      </x:c>
      <x:c r="C35" s="16" t="n">
        <x:v>0</x:v>
      </x:c>
      <x:c r="D35" s="36" t="n">
        <x:v>12.9220401522663</x:v>
      </x:c>
    </x:row>
    <x:row r="36">
      <x:c r="A36" s="16" t="n">
        <x:v>12</x:v>
      </x:c>
      <x:c r="B36" s="16" t="n">
        <x:v>12</x:v>
      </x:c>
      <x:c r="C36" s="16" t="n">
        <x:v>-10</x:v>
      </x:c>
      <x:c r="D36" s="36" t="n">
        <x:v>3.08170927076468</x:v>
      </x:c>
    </x:row>
    <x:row r="37">
      <x:c r="A37" s="16" t="n">
        <x:v>12</x:v>
      </x:c>
      <x:c r="B37" s="16" t="n">
        <x:v>12</x:v>
      </x:c>
      <x:c r="C37" s="16" t="n">
        <x:v>0</x:v>
      </x:c>
      <x:c r="D37" s="36" t="n">
        <x:v>12.6992652652101</x:v>
      </x:c>
    </x:row>
    <x:row r="38">
      <x:c r="A38" s="16" t="n">
        <x:v>12</x:v>
      </x:c>
      <x:c r="B38" s="16" t="n">
        <x:v>14</x:v>
      </x:c>
      <x:c r="C38" s="16" t="n">
        <x:v>-10</x:v>
      </x:c>
      <x:c r="D38" s="36" t="n">
        <x:v>-1.02698589269207</x:v>
      </x:c>
    </x:row>
    <x:row r="39">
      <x:c r="A39" s="16" t="n">
        <x:v>12</x:v>
      </x:c>
      <x:c r="B39" s="16" t="n">
        <x:v>14</x:v>
      </x:c>
      <x:c r="C39" s="16" t="n">
        <x:v>0</x:v>
      </x:c>
      <x:c r="D39" s="36" t="n">
        <x:v>12.5745896953547</x:v>
      </x:c>
    </x:row>
    <x:row r="40">
      <x:c r="A40" s="16" t="n">
        <x:v>12</x:v>
      </x:c>
      <x:c r="B40" s="16" t="n">
        <x:v>16</x:v>
      </x:c>
      <x:c r="C40" s="16" t="n">
        <x:v>-10</x:v>
      </x:c>
      <x:c r="D40" s="36" t="n">
        <x:v>-1.4823121564319</x:v>
      </x:c>
    </x:row>
    <x:row r="41">
      <x:c r="A41" s="16" t="n">
        <x:v>12</x:v>
      </x:c>
      <x:c r="B41" s="16" t="n">
        <x:v>16</x:v>
      </x:c>
      <x:c r="C41" s="16" t="n">
        <x:v>0</x:v>
      </x:c>
      <x:c r="D41" s="36" t="n">
        <x:v>12.4846445654545</x:v>
      </x:c>
    </x:row>
    <x:row r="42">
      <x:c r="A42" s="16" t="n">
        <x:v>12</x:v>
      </x:c>
      <x:c r="B42" s="16" t="n">
        <x:v>18</x:v>
      </x:c>
      <x:c r="C42" s="16" t="n">
        <x:v>-10</x:v>
      </x:c>
      <x:c r="D42" s="36" t="n">
        <x:v>-1.1624113662362</x:v>
      </x:c>
    </x:row>
    <x:row r="43">
      <x:c r="A43" s="16" t="n">
        <x:v>12</x:v>
      </x:c>
      <x:c r="B43" s="16" t="n">
        <x:v>18</x:v>
      </x:c>
      <x:c r="C43" s="16" t="n">
        <x:v>0</x:v>
      </x:c>
      <x:c r="D43" s="36" t="n">
        <x:v>12.4438830949965</x:v>
      </x:c>
    </x:row>
    <x:row r="44">
      <x:c r="A44" s="16" t="n">
        <x:v>12</x:v>
      </x:c>
      <x:c r="B44" s="16" t="n">
        <x:v>20</x:v>
      </x:c>
      <x:c r="C44" s="16" t="n">
        <x:v>-10</x:v>
      </x:c>
      <x:c r="D44" s="36" t="n">
        <x:v>-1.36678029375668</x:v>
      </x:c>
    </x:row>
    <x:row r="45">
      <x:c r="A45" s="16" t="n">
        <x:v>12</x:v>
      </x:c>
      <x:c r="B45" s="16" t="n">
        <x:v>20</x:v>
      </x:c>
      <x:c r="C45" s="16" t="n">
        <x:v>0</x:v>
      </x:c>
      <x:c r="D45" s="36" t="n">
        <x:v>12.381425416849</x:v>
      </x:c>
    </x:row>
    <x:row r="46">
      <x:c r="A46" s="16" t="n">
        <x:v>12</x:v>
      </x:c>
      <x:c r="B46" s="16" t="n">
        <x:v>22</x:v>
      </x:c>
      <x:c r="C46" s="16" t="n">
        <x:v>-10</x:v>
      </x:c>
      <x:c r="D46" s="36" t="n">
        <x:v>-1.47708365806684</x:v>
      </x:c>
    </x:row>
    <x:row r="47">
      <x:c r="A47" s="16" t="n">
        <x:v>12</x:v>
      </x:c>
      <x:c r="B47" s="16" t="n">
        <x:v>22</x:v>
      </x:c>
      <x:c r="C47" s="16" t="n">
        <x:v>0</x:v>
      </x:c>
      <x:c r="D47" s="36" t="n">
        <x:v>12.4211762062204</x:v>
      </x:c>
    </x:row>
    <x:row r="48">
      <x:c r="A48" s="16" t="n">
        <x:v>12</x:v>
      </x:c>
      <x:c r="B48" s="16" t="n">
        <x:v>24</x:v>
      </x:c>
      <x:c r="C48" s="16" t="n">
        <x:v>-10</x:v>
      </x:c>
      <x:c r="D48" s="36" t="n">
        <x:v>-1.38571207076043</x:v>
      </x:c>
    </x:row>
    <x:row r="49">
      <x:c r="A49" s="16" t="n">
        <x:v>12</x:v>
      </x:c>
      <x:c r="B49" s="16" t="n">
        <x:v>24</x:v>
      </x:c>
      <x:c r="C49" s="16" t="n">
        <x:v>0</x:v>
      </x:c>
      <x:c r="D49" s="36" t="n">
        <x:v>12.4347445556075</x:v>
      </x:c>
    </x:row>
    <x:row r="50">
      <x:c r="A50" s="16" t="n">
        <x:v>12</x:v>
      </x:c>
      <x:c r="B50" s="16" t="n">
        <x:v>26</x:v>
      </x:c>
      <x:c r="C50" s="16" t="n">
        <x:v>-10</x:v>
      </x:c>
      <x:c r="D50" s="36" t="n">
        <x:v>-1.47137313147487</x:v>
      </x:c>
    </x:row>
    <x:row r="51">
      <x:c r="A51" s="16" t="n">
        <x:v>12</x:v>
      </x:c>
      <x:c r="B51" s="16" t="n">
        <x:v>26</x:v>
      </x:c>
      <x:c r="C51" s="16" t="n">
        <x:v>0</x:v>
      </x:c>
      <x:c r="D51" s="36" t="n">
        <x:v>12.4340645094083</x:v>
      </x:c>
    </x:row>
    <x:row r="52">
      <x:c r="A52" s="16" t="n">
        <x:v>12</x:v>
      </x:c>
      <x:c r="B52" s="16" t="n">
        <x:v>28</x:v>
      </x:c>
      <x:c r="C52" s="16" t="n">
        <x:v>-10</x:v>
      </x:c>
      <x:c r="D52" s="36" t="n">
        <x:v>-0.699962950552922</x:v>
      </x:c>
    </x:row>
    <x:row r="53">
      <x:c r="A53" s="16" t="n">
        <x:v>12</x:v>
      </x:c>
      <x:c r="B53" s="16" t="n">
        <x:v>28</x:v>
      </x:c>
      <x:c r="C53" s="16" t="n">
        <x:v>0</x:v>
      </x:c>
      <x:c r="D53" s="36" t="n">
        <x:v>12.4790512407551</x:v>
      </x:c>
    </x:row>
    <x:row r="54">
      <x:c r="A54" s="16" t="n">
        <x:v>12</x:v>
      </x:c>
      <x:c r="B54" s="16" t="n">
        <x:v>30</x:v>
      </x:c>
      <x:c r="C54" s="16" t="n">
        <x:v>-10</x:v>
      </x:c>
      <x:c r="D54" s="36" t="n">
        <x:v>0.518510939063457</x:v>
      </x:c>
    </x:row>
    <x:row r="55">
      <x:c r="A55" s="16" t="n">
        <x:v>12</x:v>
      </x:c>
      <x:c r="B55" s="16" t="n">
        <x:v>30</x:v>
      </x:c>
      <x:c r="C55" s="16" t="n">
        <x:v>0</x:v>
      </x:c>
      <x:c r="D55" s="36" t="n">
        <x:v>12.5430051243715</x:v>
      </x:c>
    </x:row>
    <x:row r="56">
      <x:c r="A56" s="16" t="n">
        <x:v>12</x:v>
      </x:c>
      <x:c r="B56" s="16" t="n">
        <x:v>32</x:v>
      </x:c>
      <x:c r="C56" s="16" t="n">
        <x:v>-10</x:v>
      </x:c>
      <x:c r="D56" s="36" t="n">
        <x:v>1.4182235822356</x:v>
      </x:c>
    </x:row>
    <x:row r="57">
      <x:c r="A57" s="16" t="n">
        <x:v>12</x:v>
      </x:c>
      <x:c r="B57" s="16" t="n">
        <x:v>32</x:v>
      </x:c>
      <x:c r="C57" s="16" t="n">
        <x:v>0</x:v>
      </x:c>
      <x:c r="D57" s="36" t="n">
        <x:v>12.6267750630285</x:v>
      </x:c>
    </x:row>
    <x:row r="58">
      <x:c r="A58" s="16" t="n">
        <x:v>12</x:v>
      </x:c>
      <x:c r="B58" s="16" t="n">
        <x:v>34</x:v>
      </x:c>
      <x:c r="C58" s="16" t="n">
        <x:v>-10</x:v>
      </x:c>
      <x:c r="D58" s="36" t="n">
        <x:v>2.0111460090519</x:v>
      </x:c>
    </x:row>
    <x:row r="59">
      <x:c r="A59" s="16" t="n">
        <x:v>12</x:v>
      </x:c>
      <x:c r="B59" s="16" t="n">
        <x:v>34</x:v>
      </x:c>
      <x:c r="C59" s="16" t="n">
        <x:v>0</x:v>
      </x:c>
      <x:c r="D59" s="36" t="n">
        <x:v>12.6090135858438</x:v>
      </x:c>
    </x:row>
    <x:row r="60">
      <x:c r="A60" s="16" t="n">
        <x:v>12</x:v>
      </x:c>
      <x:c r="B60" s="16" t="n">
        <x:v>36</x:v>
      </x:c>
      <x:c r="C60" s="16" t="n">
        <x:v>-10</x:v>
      </x:c>
      <x:c r="D60" s="36" t="n">
        <x:v>2.38192850809085</x:v>
      </x:c>
    </x:row>
    <x:row r="61">
      <x:c r="A61" s="16" t="n">
        <x:v>12</x:v>
      </x:c>
      <x:c r="B61" s="16" t="n">
        <x:v>36</x:v>
      </x:c>
      <x:c r="C61" s="16" t="n">
        <x:v>0</x:v>
      </x:c>
      <x:c r="D61" s="36" t="n">
        <x:v>11.1218130717627</x:v>
      </x:c>
    </x:row>
    <x:row r="62">
      <x:c r="A62" s="16" t="n">
        <x:v>12</x:v>
      </x:c>
      <x:c r="B62" s="16" t="n">
        <x:v>38</x:v>
      </x:c>
      <x:c r="C62" s="16" t="n">
        <x:v>-10</x:v>
      </x:c>
      <x:c r="D62" s="36" t="n">
        <x:v>2.59995376435813</x:v>
      </x:c>
    </x:row>
    <x:row r="63">
      <x:c r="A63" s="16" t="n">
        <x:v>12</x:v>
      </x:c>
      <x:c r="B63" s="16" t="n">
        <x:v>38</x:v>
      </x:c>
      <x:c r="C63" s="16" t="n">
        <x:v>0</x:v>
      </x:c>
      <x:c r="D63" s="36" t="n">
        <x:v>7.40703663898755</x:v>
      </x:c>
    </x:row>
    <x:row r="64">
      <x:c r="A64" s="16" t="n">
        <x:v>12</x:v>
      </x:c>
      <x:c r="B64" s="16" t="n">
        <x:v>40</x:v>
      </x:c>
      <x:c r="C64" s="16" t="n">
        <x:v>-10</x:v>
      </x:c>
      <x:c r="D64" s="36" t="n">
        <x:v>2.75623611230588</x:v>
      </x:c>
    </x:row>
    <x:row r="65">
      <x:c r="A65" s="16" t="n">
        <x:v>12</x:v>
      </x:c>
      <x:c r="B65" s="16" t="n">
        <x:v>40</x:v>
      </x:c>
      <x:c r="C65" s="16" t="n">
        <x:v>0</x:v>
      </x:c>
      <x:c r="D65" s="36" t="n">
        <x:v>4.68670474776203</x:v>
      </x:c>
    </x:row>
    <x:row r="66">
      <x:c r="A66" s="16" t="n">
        <x:v>14</x:v>
      </x:c>
      <x:c r="B66" s="16" t="n">
        <x:v>10</x:v>
      </x:c>
      <x:c r="C66" s="16" t="n">
        <x:v>-10</x:v>
      </x:c>
      <x:c r="D66" s="36" t="n">
        <x:v>6.83126206515487</x:v>
      </x:c>
    </x:row>
    <x:row r="67">
      <x:c r="A67" s="16" t="n">
        <x:v>14</x:v>
      </x:c>
      <x:c r="B67" s="16" t="n">
        <x:v>10</x:v>
      </x:c>
      <x:c r="C67" s="16" t="n">
        <x:v>0</x:v>
      </x:c>
      <x:c r="D67" s="36" t="n">
        <x:v>13.5192830292667</x:v>
      </x:c>
    </x:row>
    <x:row r="68">
      <x:c r="A68" s="16" t="n">
        <x:v>14</x:v>
      </x:c>
      <x:c r="B68" s="16" t="n">
        <x:v>12</x:v>
      </x:c>
      <x:c r="C68" s="16" t="n">
        <x:v>-10</x:v>
      </x:c>
      <x:c r="D68" s="36" t="n">
        <x:v>3.60023036826448</x:v>
      </x:c>
    </x:row>
    <x:row r="69">
      <x:c r="A69" s="16" t="n">
        <x:v>14</x:v>
      </x:c>
      <x:c r="B69" s="16" t="n">
        <x:v>12</x:v>
      </x:c>
      <x:c r="C69" s="16" t="n">
        <x:v>0</x:v>
      </x:c>
      <x:c r="D69" s="36" t="n">
        <x:v>13.2247944646713</x:v>
      </x:c>
    </x:row>
    <x:row r="70">
      <x:c r="A70" s="16" t="n">
        <x:v>14</x:v>
      </x:c>
      <x:c r="B70" s="16" t="n">
        <x:v>14</x:v>
      </x:c>
      <x:c r="C70" s="16" t="n">
        <x:v>-10</x:v>
      </x:c>
      <x:c r="D70" s="36" t="n">
        <x:v>-0.196844335514618</x:v>
      </x:c>
    </x:row>
    <x:row r="71">
      <x:c r="A71" s="16" t="n">
        <x:v>14</x:v>
      </x:c>
      <x:c r="B71" s="16" t="n">
        <x:v>14</x:v>
      </x:c>
      <x:c r="C71" s="16" t="n">
        <x:v>0</x:v>
      </x:c>
      <x:c r="D71" s="36" t="n">
        <x:v>12.9765469001189</x:v>
      </x:c>
    </x:row>
    <x:row r="72">
      <x:c r="A72" s="16" t="n">
        <x:v>14</x:v>
      </x:c>
      <x:c r="B72" s="16" t="n">
        <x:v>16</x:v>
      </x:c>
      <x:c r="C72" s="16" t="n">
        <x:v>-10</x:v>
      </x:c>
      <x:c r="D72" s="36" t="n">
        <x:v>-2.74142587817355</x:v>
      </x:c>
    </x:row>
    <x:row r="73">
      <x:c r="A73" s="16" t="n">
        <x:v>14</x:v>
      </x:c>
      <x:c r="B73" s="16" t="n">
        <x:v>16</x:v>
      </x:c>
      <x:c r="C73" s="16" t="n">
        <x:v>0</x:v>
      </x:c>
      <x:c r="D73" s="36" t="n">
        <x:v>12.8950417330318</x:v>
      </x:c>
    </x:row>
    <x:row r="74">
      <x:c r="A74" s="16" t="n">
        <x:v>14</x:v>
      </x:c>
      <x:c r="B74" s="16" t="n">
        <x:v>18</x:v>
      </x:c>
      <x:c r="C74" s="16" t="n">
        <x:v>-10</x:v>
      </x:c>
      <x:c r="D74" s="36" t="n">
        <x:v>-1.23349808468314</x:v>
      </x:c>
    </x:row>
    <x:row r="75">
      <x:c r="A75" s="16" t="n">
        <x:v>14</x:v>
      </x:c>
      <x:c r="B75" s="16" t="n">
        <x:v>18</x:v>
      </x:c>
      <x:c r="C75" s="16" t="n">
        <x:v>0</x:v>
      </x:c>
      <x:c r="D75" s="36" t="n">
        <x:v>12.7511556427914</x:v>
      </x:c>
    </x:row>
    <x:row r="76">
      <x:c r="A76" s="16" t="n">
        <x:v>14</x:v>
      </x:c>
      <x:c r="B76" s="16" t="n">
        <x:v>20</x:v>
      </x:c>
      <x:c r="C76" s="16" t="n">
        <x:v>-10</x:v>
      </x:c>
      <x:c r="D76" s="36" t="n">
        <x:v>-1.57142026200424</x:v>
      </x:c>
    </x:row>
    <x:row r="77">
      <x:c r="A77" s="16" t="n">
        <x:v>14</x:v>
      </x:c>
      <x:c r="B77" s="16" t="n">
        <x:v>20</x:v>
      </x:c>
      <x:c r="C77" s="16" t="n">
        <x:v>0</x:v>
      </x:c>
      <x:c r="D77" s="36" t="n">
        <x:v>12.7459300687977</x:v>
      </x:c>
    </x:row>
    <x:row r="78">
      <x:c r="A78" s="16" t="n">
        <x:v>14</x:v>
      </x:c>
      <x:c r="B78" s="16" t="n">
        <x:v>22</x:v>
      </x:c>
      <x:c r="C78" s="16" t="n">
        <x:v>-10</x:v>
      </x:c>
      <x:c r="D78" s="36" t="n">
        <x:v>-1.74740655647909</x:v>
      </x:c>
    </x:row>
    <x:row r="79">
      <x:c r="A79" s="16" t="n">
        <x:v>14</x:v>
      </x:c>
      <x:c r="B79" s="16" t="n">
        <x:v>22</x:v>
      </x:c>
      <x:c r="C79" s="16" t="n">
        <x:v>0</x:v>
      </x:c>
      <x:c r="D79" s="36" t="n">
        <x:v>12.6483692950115</x:v>
      </x:c>
    </x:row>
    <x:row r="80">
      <x:c r="A80" s="16" t="n">
        <x:v>14</x:v>
      </x:c>
      <x:c r="B80" s="16" t="n">
        <x:v>24</x:v>
      </x:c>
      <x:c r="C80" s="16" t="n">
        <x:v>-10</x:v>
      </x:c>
      <x:c r="D80" s="36" t="n">
        <x:v>-1.79284622417446</x:v>
      </x:c>
    </x:row>
    <x:row r="81">
      <x:c r="A81" s="16" t="n">
        <x:v>14</x:v>
      </x:c>
      <x:c r="B81" s="16" t="n">
        <x:v>24</x:v>
      </x:c>
      <x:c r="C81" s="16" t="n">
        <x:v>0</x:v>
      </x:c>
      <x:c r="D81" s="36" t="n">
        <x:v>12.6336366718455</x:v>
      </x:c>
    </x:row>
    <x:row r="82">
      <x:c r="A82" s="16" t="n">
        <x:v>14</x:v>
      </x:c>
      <x:c r="B82" s="16" t="n">
        <x:v>26</x:v>
      </x:c>
      <x:c r="C82" s="16" t="n">
        <x:v>-10</x:v>
      </x:c>
      <x:c r="D82" s="36" t="n">
        <x:v>-1.8069438661819</x:v>
      </x:c>
    </x:row>
    <x:row r="83">
      <x:c r="A83" s="16" t="n">
        <x:v>14</x:v>
      </x:c>
      <x:c r="B83" s="16" t="n">
        <x:v>26</x:v>
      </x:c>
      <x:c r="C83" s="16" t="n">
        <x:v>0</x:v>
      </x:c>
      <x:c r="D83" s="36" t="n">
        <x:v>12.6293281890737</x:v>
      </x:c>
    </x:row>
    <x:row r="84">
      <x:c r="A84" s="16" t="n">
        <x:v>14</x:v>
      </x:c>
      <x:c r="B84" s="16" t="n">
        <x:v>28</x:v>
      </x:c>
      <x:c r="C84" s="16" t="n">
        <x:v>-10</x:v>
      </x:c>
      <x:c r="D84" s="36" t="n">
        <x:v>-1.62559250679142</x:v>
      </x:c>
    </x:row>
    <x:row r="85">
      <x:c r="A85" s="16" t="n">
        <x:v>14</x:v>
      </x:c>
      <x:c r="B85" s="16" t="n">
        <x:v>28</x:v>
      </x:c>
      <x:c r="C85" s="16" t="n">
        <x:v>0</x:v>
      </x:c>
      <x:c r="D85" s="36" t="n">
        <x:v>12.6599764553831</x:v>
      </x:c>
    </x:row>
    <x:row r="86">
      <x:c r="A86" s="16" t="n">
        <x:v>14</x:v>
      </x:c>
      <x:c r="B86" s="16" t="n">
        <x:v>30</x:v>
      </x:c>
      <x:c r="C86" s="16" t="n">
        <x:v>-10</x:v>
      </x:c>
      <x:c r="D86" s="36" t="n">
        <x:v>-0.502688718635297</x:v>
      </x:c>
    </x:row>
    <x:row r="87">
      <x:c r="A87" s="16" t="n">
        <x:v>14</x:v>
      </x:c>
      <x:c r="B87" s="16" t="n">
        <x:v>30</x:v>
      </x:c>
      <x:c r="C87" s="16" t="n">
        <x:v>0</x:v>
      </x:c>
      <x:c r="D87" s="36" t="n">
        <x:v>12.779743213422</x:v>
      </x:c>
    </x:row>
    <x:row r="88">
      <x:c r="A88" s="16" t="n">
        <x:v>14</x:v>
      </x:c>
      <x:c r="B88" s="16" t="n">
        <x:v>32</x:v>
      </x:c>
      <x:c r="C88" s="16" t="n">
        <x:v>-10</x:v>
      </x:c>
      <x:c r="D88" s="36" t="n">
        <x:v>0.561296191276974</x:v>
      </x:c>
    </x:row>
    <x:row r="89">
      <x:c r="A89" s="16" t="n">
        <x:v>14</x:v>
      </x:c>
      <x:c r="B89" s="16" t="n">
        <x:v>32</x:v>
      </x:c>
      <x:c r="C89" s="16" t="n">
        <x:v>0</x:v>
      </x:c>
      <x:c r="D89" s="36" t="n">
        <x:v>12.7211845482394</x:v>
      </x:c>
    </x:row>
    <x:row r="90">
      <x:c r="A90" s="16" t="n">
        <x:v>14</x:v>
      </x:c>
      <x:c r="B90" s="16" t="n">
        <x:v>34</x:v>
      </x:c>
      <x:c r="C90" s="16" t="n">
        <x:v>-10</x:v>
      </x:c>
      <x:c r="D90" s="36" t="n">
        <x:v>1.21462703770619</x:v>
      </x:c>
    </x:row>
    <x:row r="91">
      <x:c r="A91" s="16" t="n">
        <x:v>14</x:v>
      </x:c>
      <x:c r="B91" s="16" t="n">
        <x:v>34</x:v>
      </x:c>
      <x:c r="C91" s="16" t="n">
        <x:v>0</x:v>
      </x:c>
      <x:c r="D91" s="36" t="n">
        <x:v>12.7805356390362</x:v>
      </x:c>
    </x:row>
    <x:row r="92">
      <x:c r="A92" s="16" t="n">
        <x:v>14</x:v>
      </x:c>
      <x:c r="B92" s="16" t="n">
        <x:v>36</x:v>
      </x:c>
      <x:c r="C92" s="16" t="n">
        <x:v>-10</x:v>
      </x:c>
      <x:c r="D92" s="36" t="n">
        <x:v>1.66033387090654</x:v>
      </x:c>
    </x:row>
    <x:row r="93">
      <x:c r="A93" s="16" t="n">
        <x:v>14</x:v>
      </x:c>
      <x:c r="B93" s="16" t="n">
        <x:v>36</x:v>
      </x:c>
      <x:c r="C93" s="16" t="n">
        <x:v>0</x:v>
      </x:c>
      <x:c r="D93" s="36" t="n">
        <x:v>12.6082814095456</x:v>
      </x:c>
    </x:row>
    <x:row r="94">
      <x:c r="A94" s="16" t="n">
        <x:v>14</x:v>
      </x:c>
      <x:c r="B94" s="16" t="n">
        <x:v>38</x:v>
      </x:c>
      <x:c r="C94" s="16" t="n">
        <x:v>-10</x:v>
      </x:c>
      <x:c r="D94" s="36" t="n">
        <x:v>1.96451840302628</x:v>
      </x:c>
    </x:row>
    <x:row r="95">
      <x:c r="A95" s="16" t="n">
        <x:v>14</x:v>
      </x:c>
      <x:c r="B95" s="16" t="n">
        <x:v>38</x:v>
      </x:c>
      <x:c r="C95" s="16" t="n">
        <x:v>0</x:v>
      </x:c>
      <x:c r="D95" s="36" t="n">
        <x:v>9.30677217637597</x:v>
      </x:c>
    </x:row>
    <x:row r="96">
      <x:c r="A96" s="16" t="n">
        <x:v>14</x:v>
      </x:c>
      <x:c r="B96" s="16" t="n">
        <x:v>40</x:v>
      </x:c>
      <x:c r="C96" s="16" t="n">
        <x:v>-10</x:v>
      </x:c>
      <x:c r="D96" s="36" t="n">
        <x:v>2.16185574581013</x:v>
      </x:c>
    </x:row>
    <x:row r="97">
      <x:c r="A97" s="16" t="n">
        <x:v>14</x:v>
      </x:c>
      <x:c r="B97" s="16" t="n">
        <x:v>40</x:v>
      </x:c>
      <x:c r="C97" s="16" t="n">
        <x:v>0</x:v>
      </x:c>
      <x:c r="D97" s="36" t="n">
        <x:v>6.14382927918924</x:v>
      </x:c>
    </x:row>
    <x:row r="98">
      <x:c r="A98" s="16" t="n">
        <x:v>16</x:v>
      </x:c>
      <x:c r="B98" s="16" t="n">
        <x:v>10</x:v>
      </x:c>
      <x:c r="C98" s="16" t="n">
        <x:v>-10</x:v>
      </x:c>
      <x:c r="D98" s="36" t="n">
        <x:v>6.41422339660904</x:v>
      </x:c>
    </x:row>
    <x:row r="99">
      <x:c r="A99" s="16" t="n">
        <x:v>16</x:v>
      </x:c>
      <x:c r="B99" s="16" t="n">
        <x:v>10</x:v>
      </x:c>
      <x:c r="C99" s="16" t="n">
        <x:v>0</x:v>
      </x:c>
      <x:c r="D99" s="36" t="n">
        <x:v>13.9955985404725</x:v>
      </x:c>
    </x:row>
    <x:row r="100">
      <x:c r="A100" s="16" t="n">
        <x:v>16</x:v>
      </x:c>
      <x:c r="B100" s="16" t="n">
        <x:v>12</x:v>
      </x:c>
      <x:c r="C100" s="16" t="n">
        <x:v>-10</x:v>
      </x:c>
      <x:c r="D100" s="36" t="n">
        <x:v>3.63962814574854</x:v>
      </x:c>
    </x:row>
    <x:row r="101">
      <x:c r="A101" s="16" t="n">
        <x:v>16</x:v>
      </x:c>
      <x:c r="B101" s="16" t="n">
        <x:v>12</x:v>
      </x:c>
      <x:c r="C101" s="16" t="n">
        <x:v>0</x:v>
      </x:c>
      <x:c r="D101" s="36" t="n">
        <x:v>13.7014029633982</x:v>
      </x:c>
    </x:row>
    <x:row r="102">
      <x:c r="A102" s="16" t="n">
        <x:v>16</x:v>
      </x:c>
      <x:c r="B102" s="16" t="n">
        <x:v>14</x:v>
      </x:c>
      <x:c r="C102" s="16" t="n">
        <x:v>-10</x:v>
      </x:c>
      <x:c r="D102" s="36" t="n">
        <x:v>0.392770015055284</x:v>
      </x:c>
    </x:row>
    <x:row r="103">
      <x:c r="A103" s="16" t="n">
        <x:v>16</x:v>
      </x:c>
      <x:c r="B103" s="16" t="n">
        <x:v>14</x:v>
      </x:c>
      <x:c r="C103" s="16" t="n">
        <x:v>0</x:v>
      </x:c>
      <x:c r="D103" s="36" t="n">
        <x:v>13.3642277439543</x:v>
      </x:c>
    </x:row>
    <x:row r="104">
      <x:c r="A104" s="16" t="n">
        <x:v>16</x:v>
      </x:c>
      <x:c r="B104" s="16" t="n">
        <x:v>16</x:v>
      </x:c>
      <x:c r="C104" s="16" t="n">
        <x:v>-10</x:v>
      </x:c>
      <x:c r="D104" s="36" t="n">
        <x:v>-2.89290898333148</x:v>
      </x:c>
    </x:row>
    <x:row r="105">
      <x:c r="A105" s="16" t="n">
        <x:v>16</x:v>
      </x:c>
      <x:c r="B105" s="16" t="n">
        <x:v>16</x:v>
      </x:c>
      <x:c r="C105" s="16" t="n">
        <x:v>0</x:v>
      </x:c>
      <x:c r="D105" s="36" t="n">
        <x:v>13.1872261013203</x:v>
      </x:c>
    </x:row>
    <x:row r="106">
      <x:c r="A106" s="16" t="n">
        <x:v>16</x:v>
      </x:c>
      <x:c r="B106" s="16" t="n">
        <x:v>18</x:v>
      </x:c>
      <x:c r="C106" s="16" t="n">
        <x:v>-10</x:v>
      </x:c>
      <x:c r="D106" s="36" t="n">
        <x:v>-2.19546469105007</x:v>
      </x:c>
    </x:row>
    <x:row r="107">
      <x:c r="A107" s="16" t="n">
        <x:v>16</x:v>
      </x:c>
      <x:c r="B107" s="16" t="n">
        <x:v>18</x:v>
      </x:c>
      <x:c r="C107" s="16" t="n">
        <x:v>0</x:v>
      </x:c>
      <x:c r="D107" s="36" t="n">
        <x:v>13.0071515675673</x:v>
      </x:c>
    </x:row>
    <x:row r="108">
      <x:c r="A108" s="16" t="n">
        <x:v>16</x:v>
      </x:c>
      <x:c r="B108" s="16" t="n">
        <x:v>20</x:v>
      </x:c>
      <x:c r="C108" s="16" t="n">
        <x:v>-10</x:v>
      </x:c>
      <x:c r="D108" s="36" t="n">
        <x:v>-1.58233027899772</x:v>
      </x:c>
    </x:row>
    <x:row r="109">
      <x:c r="A109" s="16" t="n">
        <x:v>16</x:v>
      </x:c>
      <x:c r="B109" s="16" t="n">
        <x:v>20</x:v>
      </x:c>
      <x:c r="C109" s="16" t="n">
        <x:v>0</x:v>
      </x:c>
      <x:c r="D109" s="36" t="n">
        <x:v>12.8955122695581</x:v>
      </x:c>
    </x:row>
    <x:row r="110">
      <x:c r="A110" s="16" t="n">
        <x:v>16</x:v>
      </x:c>
      <x:c r="B110" s="16" t="n">
        <x:v>22</x:v>
      </x:c>
      <x:c r="C110" s="16" t="n">
        <x:v>-10</x:v>
      </x:c>
      <x:c r="D110" s="36" t="n">
        <x:v>-1.99959383793164</x:v>
      </x:c>
    </x:row>
    <x:row r="111">
      <x:c r="A111" s="16" t="n">
        <x:v>16</x:v>
      </x:c>
      <x:c r="B111" s="16" t="n">
        <x:v>22</x:v>
      </x:c>
      <x:c r="C111" s="16" t="n">
        <x:v>0</x:v>
      </x:c>
      <x:c r="D111" s="36" t="n">
        <x:v>12.8521816101612</x:v>
      </x:c>
    </x:row>
    <x:row r="112">
      <x:c r="A112" s="16" t="n">
        <x:v>16</x:v>
      </x:c>
      <x:c r="B112" s="16" t="n">
        <x:v>24</x:v>
      </x:c>
      <x:c r="C112" s="16" t="n">
        <x:v>-10</x:v>
      </x:c>
      <x:c r="D112" s="36" t="n">
        <x:v>-2.16799868869064</x:v>
      </x:c>
    </x:row>
    <x:row r="113">
      <x:c r="A113" s="16" t="n">
        <x:v>16</x:v>
      </x:c>
      <x:c r="B113" s="16" t="n">
        <x:v>24</x:v>
      </x:c>
      <x:c r="C113" s="16" t="n">
        <x:v>0</x:v>
      </x:c>
      <x:c r="D113" s="36" t="n">
        <x:v>12.7847417929968</x:v>
      </x:c>
    </x:row>
    <x:row r="114">
      <x:c r="A114" s="16" t="n">
        <x:v>16</x:v>
      </x:c>
      <x:c r="B114" s="16" t="n">
        <x:v>26</x:v>
      </x:c>
      <x:c r="C114" s="16" t="n">
        <x:v>-10</x:v>
      </x:c>
      <x:c r="D114" s="36" t="n">
        <x:v>-2.15089966116207</x:v>
      </x:c>
    </x:row>
    <x:row r="115">
      <x:c r="A115" s="16" t="n">
        <x:v>16</x:v>
      </x:c>
      <x:c r="B115" s="16" t="n">
        <x:v>26</x:v>
      </x:c>
      <x:c r="C115" s="16" t="n">
        <x:v>0</x:v>
      </x:c>
      <x:c r="D115" s="36" t="n">
        <x:v>12.7499257989818</x:v>
      </x:c>
    </x:row>
    <x:row r="116">
      <x:c r="A116" s="16" t="n">
        <x:v>16</x:v>
      </x:c>
      <x:c r="B116" s="16" t="n">
        <x:v>28</x:v>
      </x:c>
      <x:c r="C116" s="16" t="n">
        <x:v>-10</x:v>
      </x:c>
      <x:c r="D116" s="36" t="n">
        <x:v>-2.25617848049365</x:v>
      </x:c>
    </x:row>
    <x:row r="117">
      <x:c r="A117" s="16" t="n">
        <x:v>16</x:v>
      </x:c>
      <x:c r="B117" s="16" t="n">
        <x:v>28</x:v>
      </x:c>
      <x:c r="C117" s="16" t="n">
        <x:v>0</x:v>
      </x:c>
      <x:c r="D117" s="36" t="n">
        <x:v>12.7332502625053</x:v>
      </x:c>
    </x:row>
    <x:row r="118">
      <x:c r="A118" s="16" t="n">
        <x:v>16</x:v>
      </x:c>
      <x:c r="B118" s="16" t="n">
        <x:v>30</x:v>
      </x:c>
      <x:c r="C118" s="16" t="n">
        <x:v>-10</x:v>
      </x:c>
      <x:c r="D118" s="36" t="n">
        <x:v>-1.53024884638485</x:v>
      </x:c>
    </x:row>
    <x:row r="119">
      <x:c r="A119" s="16" t="n">
        <x:v>16</x:v>
      </x:c>
      <x:c r="B119" s="16" t="n">
        <x:v>30</x:v>
      </x:c>
      <x:c r="C119" s="16" t="n">
        <x:v>0</x:v>
      </x:c>
      <x:c r="D119" s="36" t="n">
        <x:v>12.8194987403397</x:v>
      </x:c>
    </x:row>
    <x:row r="120">
      <x:c r="A120" s="16" t="n">
        <x:v>16</x:v>
      </x:c>
      <x:c r="B120" s="16" t="n">
        <x:v>32</x:v>
      </x:c>
      <x:c r="C120" s="16" t="n">
        <x:v>-10</x:v>
      </x:c>
      <x:c r="D120" s="36" t="n">
        <x:v>-0.30706481078372</x:v>
      </x:c>
    </x:row>
    <x:row r="121">
      <x:c r="A121" s="16" t="n">
        <x:v>16</x:v>
      </x:c>
      <x:c r="B121" s="16" t="n">
        <x:v>32</x:v>
      </x:c>
      <x:c r="C121" s="16" t="n">
        <x:v>0</x:v>
      </x:c>
      <x:c r="D121" s="36" t="n">
        <x:v>12.8747953267807</x:v>
      </x:c>
    </x:row>
    <x:row r="122">
      <x:c r="A122" s="16" t="n">
        <x:v>16</x:v>
      </x:c>
      <x:c r="B122" s="16" t="n">
        <x:v>34</x:v>
      </x:c>
      <x:c r="C122" s="16" t="n">
        <x:v>-10</x:v>
      </x:c>
      <x:c r="D122" s="36" t="n">
        <x:v>0.406132939862601</x:v>
      </x:c>
    </x:row>
    <x:row r="123">
      <x:c r="A123" s="16" t="n">
        <x:v>16</x:v>
      </x:c>
      <x:c r="B123" s="16" t="n">
        <x:v>34</x:v>
      </x:c>
      <x:c r="C123" s="16" t="n">
        <x:v>0</x:v>
      </x:c>
      <x:c r="D123" s="36" t="n">
        <x:v>12.913316877352</x:v>
      </x:c>
    </x:row>
    <x:row r="124">
      <x:c r="A124" s="16" t="n">
        <x:v>16</x:v>
      </x:c>
      <x:c r="B124" s="16" t="n">
        <x:v>36</x:v>
      </x:c>
      <x:c r="C124" s="16" t="n">
        <x:v>-10</x:v>
      </x:c>
      <x:c r="D124" s="36" t="n">
        <x:v>0.957417767932442</x:v>
      </x:c>
    </x:row>
    <x:row r="125">
      <x:c r="A125" s="16" t="n">
        <x:v>16</x:v>
      </x:c>
      <x:c r="B125" s="16" t="n">
        <x:v>36</x:v>
      </x:c>
      <x:c r="C125" s="16" t="n">
        <x:v>0</x:v>
      </x:c>
      <x:c r="D125" s="36" t="n">
        <x:v>12.8584766722317</x:v>
      </x:c>
    </x:row>
    <x:row r="126">
      <x:c r="A126" s="16" t="n">
        <x:v>16</x:v>
      </x:c>
      <x:c r="B126" s="16" t="n">
        <x:v>38</x:v>
      </x:c>
      <x:c r="C126" s="16" t="n">
        <x:v>-10</x:v>
      </x:c>
      <x:c r="D126" s="36" t="n">
        <x:v>1.29948697987777</x:v>
      </x:c>
    </x:row>
    <x:row r="127">
      <x:c r="A127" s="16" t="n">
        <x:v>16</x:v>
      </x:c>
      <x:c r="B127" s="16" t="n">
        <x:v>38</x:v>
      </x:c>
      <x:c r="C127" s="16" t="n">
        <x:v>0</x:v>
      </x:c>
      <x:c r="D127" s="36" t="n">
        <x:v>11.4420022253044</x:v>
      </x:c>
    </x:row>
    <x:row r="128">
      <x:c r="A128" s="16" t="n">
        <x:v>16</x:v>
      </x:c>
      <x:c r="B128" s="16" t="n">
        <x:v>40</x:v>
      </x:c>
      <x:c r="C128" s="16" t="n">
        <x:v>-10</x:v>
      </x:c>
      <x:c r="D128" s="36" t="n">
        <x:v>1.49026532394329</x:v>
      </x:c>
    </x:row>
    <x:row r="129">
      <x:c r="A129" s="16" t="n">
        <x:v>16</x:v>
      </x:c>
      <x:c r="B129" s="16" t="n">
        <x:v>40</x:v>
      </x:c>
      <x:c r="C129" s="16" t="n">
        <x:v>0</x:v>
      </x:c>
      <x:c r="D129" s="36" t="n">
        <x:v>7.74504775342984</x:v>
      </x:c>
    </x:row>
    <x:row r="130">
      <x:c r="A130" s="16" t="n">
        <x:v>18</x:v>
      </x:c>
      <x:c r="B130" s="16" t="n">
        <x:v>10</x:v>
      </x:c>
      <x:c r="C130" s="16" t="n">
        <x:v>-10</x:v>
      </x:c>
      <x:c r="D130" s="36" t="n">
        <x:v>5.78516785758614</x:v>
      </x:c>
    </x:row>
    <x:row r="131">
      <x:c r="A131" s="16" t="n">
        <x:v>18</x:v>
      </x:c>
      <x:c r="B131" s="16" t="n">
        <x:v>10</x:v>
      </x:c>
      <x:c r="C131" s="16" t="n">
        <x:v>0</x:v>
      </x:c>
      <x:c r="D131" s="36" t="n">
        <x:v>13.8695785872808</x:v>
      </x:c>
    </x:row>
    <x:row r="132">
      <x:c r="A132" s="16" t="n">
        <x:v>18</x:v>
      </x:c>
      <x:c r="B132" s="16" t="n">
        <x:v>12</x:v>
      </x:c>
      <x:c r="C132" s="16" t="n">
        <x:v>-10</x:v>
      </x:c>
      <x:c r="D132" s="36" t="n">
        <x:v>3.40083334135912</x:v>
      </x:c>
    </x:row>
    <x:row r="133">
      <x:c r="A133" s="16" t="n">
        <x:v>18</x:v>
      </x:c>
      <x:c r="B133" s="16" t="n">
        <x:v>12</x:v>
      </x:c>
      <x:c r="C133" s="16" t="n">
        <x:v>0</x:v>
      </x:c>
      <x:c r="D133" s="36" t="n">
        <x:v>14.109420266291</x:v>
      </x:c>
    </x:row>
    <x:row r="134">
      <x:c r="A134" s="16" t="n">
        <x:v>18</x:v>
      </x:c>
      <x:c r="B134" s="16" t="n">
        <x:v>14</x:v>
      </x:c>
      <x:c r="C134" s="16" t="n">
        <x:v>-10</x:v>
      </x:c>
      <x:c r="D134" s="36" t="n">
        <x:v>0.64669176157728</x:v>
      </x:c>
    </x:row>
    <x:row r="135">
      <x:c r="A135" s="16" t="n">
        <x:v>18</x:v>
      </x:c>
      <x:c r="B135" s="16" t="n">
        <x:v>14</x:v>
      </x:c>
      <x:c r="C135" s="16" t="n">
        <x:v>0</x:v>
      </x:c>
      <x:c r="D135" s="36" t="n">
        <x:v>13.7356728480609</x:v>
      </x:c>
    </x:row>
    <x:row r="136">
      <x:c r="A136" s="16" t="n">
        <x:v>18</x:v>
      </x:c>
      <x:c r="B136" s="16" t="n">
        <x:v>16</x:v>
      </x:c>
      <x:c r="C136" s="16" t="n">
        <x:v>-10</x:v>
      </x:c>
      <x:c r="D136" s="36" t="n">
        <x:v>-2.3606866217403</x:v>
      </x:c>
    </x:row>
    <x:row r="137">
      <x:c r="A137" s="16" t="n">
        <x:v>18</x:v>
      </x:c>
      <x:c r="B137" s="16" t="n">
        <x:v>16</x:v>
      </x:c>
      <x:c r="C137" s="16" t="n">
        <x:v>0</x:v>
      </x:c>
      <x:c r="D137" s="36" t="n">
        <x:v>13.4122339213794</x:v>
      </x:c>
    </x:row>
    <x:row r="138">
      <x:c r="A138" s="16" t="n">
        <x:v>18</x:v>
      </x:c>
      <x:c r="B138" s="16" t="n">
        <x:v>18</x:v>
      </x:c>
      <x:c r="C138" s="16" t="n">
        <x:v>-10</x:v>
      </x:c>
      <x:c r="D138" s="36" t="n">
        <x:v>-3.97857061628213</x:v>
      </x:c>
    </x:row>
    <x:row r="139">
      <x:c r="A139" s="16" t="n">
        <x:v>18</x:v>
      </x:c>
      <x:c r="B139" s="16" t="n">
        <x:v>18</x:v>
      </x:c>
      <x:c r="C139" s="16" t="n">
        <x:v>0</x:v>
      </x:c>
      <x:c r="D139" s="36" t="n">
        <x:v>13.1174719643903</x:v>
      </x:c>
    </x:row>
    <x:row r="140">
      <x:c r="A140" s="16" t="n">
        <x:v>18</x:v>
      </x:c>
      <x:c r="B140" s="16" t="n">
        <x:v>20</x:v>
      </x:c>
      <x:c r="C140" s="16" t="n">
        <x:v>-10</x:v>
      </x:c>
      <x:c r="D140" s="36" t="n">
        <x:v>-1.63879217491607</x:v>
      </x:c>
    </x:row>
    <x:row r="141">
      <x:c r="A141" s="16" t="n">
        <x:v>18</x:v>
      </x:c>
      <x:c r="B141" s="16" t="n">
        <x:v>20</x:v>
      </x:c>
      <x:c r="C141" s="16" t="n">
        <x:v>0</x:v>
      </x:c>
      <x:c r="D141" s="36" t="n">
        <x:v>13.0291930288139</x:v>
      </x:c>
    </x:row>
    <x:row r="142">
      <x:c r="A142" s="16" t="n">
        <x:v>18</x:v>
      </x:c>
      <x:c r="B142" s="16" t="n">
        <x:v>22</x:v>
      </x:c>
      <x:c r="C142" s="16" t="n">
        <x:v>-10</x:v>
      </x:c>
      <x:c r="D142" s="36" t="n">
        <x:v>-1.98645595403657</x:v>
      </x:c>
    </x:row>
    <x:row r="143">
      <x:c r="A143" s="16" t="n">
        <x:v>18</x:v>
      </x:c>
      <x:c r="B143" s="16" t="n">
        <x:v>22</x:v>
      </x:c>
      <x:c r="C143" s="16" t="n">
        <x:v>0</x:v>
      </x:c>
      <x:c r="D143" s="36" t="n">
        <x:v>12.9360815615617</x:v>
      </x:c>
    </x:row>
    <x:row r="144">
      <x:c r="A144" s="16" t="n">
        <x:v>18</x:v>
      </x:c>
      <x:c r="B144" s="16" t="n">
        <x:v>24</x:v>
      </x:c>
      <x:c r="C144" s="16" t="n">
        <x:v>-10</x:v>
      </x:c>
      <x:c r="D144" s="36" t="n">
        <x:v>-2.36570722542504</x:v>
      </x:c>
    </x:row>
    <x:row r="145">
      <x:c r="A145" s="16" t="n">
        <x:v>18</x:v>
      </x:c>
      <x:c r="B145" s="16" t="n">
        <x:v>24</x:v>
      </x:c>
      <x:c r="C145" s="16" t="n">
        <x:v>0</x:v>
      </x:c>
      <x:c r="D145" s="36" t="n">
        <x:v>12.9014200176048</x:v>
      </x:c>
    </x:row>
    <x:row r="146">
      <x:c r="A146" s="16" t="n">
        <x:v>18</x:v>
      </x:c>
      <x:c r="B146" s="16" t="n">
        <x:v>26</x:v>
      </x:c>
      <x:c r="C146" s="16" t="n">
        <x:v>-10</x:v>
      </x:c>
      <x:c r="D146" s="36" t="n">
        <x:v>-2.49896740268759</x:v>
      </x:c>
    </x:row>
    <x:row r="147">
      <x:c r="A147" s="16" t="n">
        <x:v>18</x:v>
      </x:c>
      <x:c r="B147" s="16" t="n">
        <x:v>26</x:v>
      </x:c>
      <x:c r="C147" s="16" t="n">
        <x:v>0</x:v>
      </x:c>
      <x:c r="D147" s="36" t="n">
        <x:v>12.8030292413902</x:v>
      </x:c>
    </x:row>
    <x:row r="148">
      <x:c r="A148" s="16" t="n">
        <x:v>18</x:v>
      </x:c>
      <x:c r="B148" s="16" t="n">
        <x:v>28</x:v>
      </x:c>
      <x:c r="C148" s="16" t="n">
        <x:v>-10</x:v>
      </x:c>
      <x:c r="D148" s="36" t="n">
        <x:v>-2.48147358286393</x:v>
      </x:c>
    </x:row>
    <x:row r="149">
      <x:c r="A149" s="16" t="n">
        <x:v>18</x:v>
      </x:c>
      <x:c r="B149" s="16" t="n">
        <x:v>28</x:v>
      </x:c>
      <x:c r="C149" s="16" t="n">
        <x:v>0</x:v>
      </x:c>
      <x:c r="D149" s="36" t="n">
        <x:v>12.8297178480055</x:v>
      </x:c>
    </x:row>
    <x:row r="150">
      <x:c r="A150" s="16" t="n">
        <x:v>18</x:v>
      </x:c>
      <x:c r="B150" s="16" t="n">
        <x:v>30</x:v>
      </x:c>
      <x:c r="C150" s="16" t="n">
        <x:v>-10</x:v>
      </x:c>
      <x:c r="D150" s="36" t="n">
        <x:v>-2.34220133613248</x:v>
      </x:c>
    </x:row>
    <x:row r="151">
      <x:c r="A151" s="16" t="n">
        <x:v>18</x:v>
      </x:c>
      <x:c r="B151" s="16" t="n">
        <x:v>30</x:v>
      </x:c>
      <x:c r="C151" s="16" t="n">
        <x:v>0</x:v>
      </x:c>
      <x:c r="D151" s="36" t="n">
        <x:v>12.7817199402132</x:v>
      </x:c>
    </x:row>
    <x:row r="152">
      <x:c r="A152" s="16" t="n">
        <x:v>18</x:v>
      </x:c>
      <x:c r="B152" s="16" t="n">
        <x:v>32</x:v>
      </x:c>
      <x:c r="C152" s="16" t="n">
        <x:v>-10</x:v>
      </x:c>
      <x:c r="D152" s="36" t="n">
        <x:v>-1.34309866116109</x:v>
      </x:c>
    </x:row>
    <x:row r="153">
      <x:c r="A153" s="16" t="n">
        <x:v>18</x:v>
      </x:c>
      <x:c r="B153" s="16" t="n">
        <x:v>32</x:v>
      </x:c>
      <x:c r="C153" s="16" t="n">
        <x:v>0</x:v>
      </x:c>
      <x:c r="D153" s="36" t="n">
        <x:v>12.8654659343301</x:v>
      </x:c>
    </x:row>
    <x:row r="154">
      <x:c r="A154" s="16" t="n">
        <x:v>18</x:v>
      </x:c>
      <x:c r="B154" s="16" t="n">
        <x:v>34</x:v>
      </x:c>
      <x:c r="C154" s="16" t="n">
        <x:v>-10</x:v>
      </x:c>
      <x:c r="D154" s="36" t="n">
        <x:v>-0.36493562573539</x:v>
      </x:c>
    </x:row>
    <x:row r="155">
      <x:c r="A155" s="16" t="n">
        <x:v>18</x:v>
      </x:c>
      <x:c r="B155" s="16" t="n">
        <x:v>34</x:v>
      </x:c>
      <x:c r="C155" s="16" t="n">
        <x:v>0</x:v>
      </x:c>
      <x:c r="D155" s="36" t="n">
        <x:v>12.9109705822491</x:v>
      </x:c>
    </x:row>
    <x:row r="156">
      <x:c r="A156" s="16" t="n">
        <x:v>18</x:v>
      </x:c>
      <x:c r="B156" s="16" t="n">
        <x:v>36</x:v>
      </x:c>
      <x:c r="C156" s="16" t="n">
        <x:v>-10</x:v>
      </x:c>
      <x:c r="D156" s="36" t="n">
        <x:v>0.35312265217006</x:v>
      </x:c>
    </x:row>
    <x:row r="157">
      <x:c r="A157" s="16" t="n">
        <x:v>18</x:v>
      </x:c>
      <x:c r="B157" s="16" t="n">
        <x:v>36</x:v>
      </x:c>
      <x:c r="C157" s="16" t="n">
        <x:v>0</x:v>
      </x:c>
      <x:c r="D157" s="36" t="n">
        <x:v>12.9950017666174</x:v>
      </x:c>
    </x:row>
    <x:row r="158">
      <x:c r="A158" s="16" t="n">
        <x:v>18</x:v>
      </x:c>
      <x:c r="B158" s="16" t="n">
        <x:v>38</x:v>
      </x:c>
      <x:c r="C158" s="16" t="n">
        <x:v>-10</x:v>
      </x:c>
      <x:c r="D158" s="36" t="n">
        <x:v>0.670830537426423</x:v>
      </x:c>
    </x:row>
    <x:row r="159">
      <x:c r="A159" s="16" t="n">
        <x:v>18</x:v>
      </x:c>
      <x:c r="B159" s="16" t="n">
        <x:v>38</x:v>
      </x:c>
      <x:c r="C159" s="16" t="n">
        <x:v>0</x:v>
      </x:c>
      <x:c r="D159" s="36" t="n">
        <x:v>12.8053686742807</x:v>
      </x:c>
    </x:row>
    <x:row r="160">
      <x:c r="A160" s="16" t="n">
        <x:v>18</x:v>
      </x:c>
      <x:c r="B160" s="16" t="n">
        <x:v>40</x:v>
      </x:c>
      <x:c r="C160" s="16" t="n">
        <x:v>-10</x:v>
      </x:c>
      <x:c r="D160" s="36" t="n">
        <x:v>0.960746941388013</x:v>
      </x:c>
    </x:row>
    <x:row r="161">
      <x:c r="A161" s="16" t="n">
        <x:v>18</x:v>
      </x:c>
      <x:c r="B161" s="16" t="n">
        <x:v>40</x:v>
      </x:c>
      <x:c r="C161" s="16" t="n">
        <x:v>0</x:v>
      </x:c>
      <x:c r="D161" s="36" t="n">
        <x:v>9.55327978871459</x:v>
      </x:c>
    </x:row>
    <x:row r="162">
      <x:c r="A162" s="16" t="n">
        <x:v>20</x:v>
      </x:c>
      <x:c r="B162" s="16" t="n">
        <x:v>10</x:v>
      </x:c>
      <x:c r="C162" s="16" t="n">
        <x:v>-10</x:v>
      </x:c>
      <x:c r="D162" s="36" t="n">
        <x:v>5.69885823743393</x:v>
      </x:c>
    </x:row>
    <x:row r="163">
      <x:c r="A163" s="16" t="n">
        <x:v>20</x:v>
      </x:c>
      <x:c r="B163" s="16" t="n">
        <x:v>10</x:v>
      </x:c>
      <x:c r="C163" s="16" t="n">
        <x:v>0</x:v>
      </x:c>
      <x:c r="D163" s="36" t="n">
        <x:v>11.7872968949599</x:v>
      </x:c>
    </x:row>
    <x:row r="164">
      <x:c r="A164" s="16" t="n">
        <x:v>20</x:v>
      </x:c>
      <x:c r="B164" s="16" t="n">
        <x:v>12</x:v>
      </x:c>
      <x:c r="C164" s="16" t="n">
        <x:v>-10</x:v>
      </x:c>
      <x:c r="D164" s="36" t="n">
        <x:v>3.55257264166323</x:v>
      </x:c>
    </x:row>
    <x:row r="165">
      <x:c r="A165" s="16" t="n">
        <x:v>20</x:v>
      </x:c>
      <x:c r="B165" s="16" t="n">
        <x:v>12</x:v>
      </x:c>
      <x:c r="C165" s="16" t="n">
        <x:v>0</x:v>
      </x:c>
      <x:c r="D165" s="36" t="n">
        <x:v>14.4162974267587</x:v>
      </x:c>
    </x:row>
    <x:row r="166">
      <x:c r="A166" s="16" t="n">
        <x:v>20</x:v>
      </x:c>
      <x:c r="B166" s="16" t="n">
        <x:v>14</x:v>
      </x:c>
      <x:c r="C166" s="16" t="n">
        <x:v>-10</x:v>
      </x:c>
      <x:c r="D166" s="36" t="n">
        <x:v>1.20051578292388</x:v>
      </x:c>
    </x:row>
    <x:row r="167">
      <x:c r="A167" s="16" t="n">
        <x:v>20</x:v>
      </x:c>
      <x:c r="B167" s="16" t="n">
        <x:v>14</x:v>
      </x:c>
      <x:c r="C167" s="16" t="n">
        <x:v>0</x:v>
      </x:c>
      <x:c r="D167" s="36" t="n">
        <x:v>14.0692348347394</x:v>
      </x:c>
    </x:row>
    <x:row r="168">
      <x:c r="A168" s="16" t="n">
        <x:v>20</x:v>
      </x:c>
      <x:c r="B168" s="16" t="n">
        <x:v>16</x:v>
      </x:c>
      <x:c r="C168" s="16" t="n">
        <x:v>-10</x:v>
      </x:c>
      <x:c r="D168" s="36" t="n">
        <x:v>-1.6121981428122</x:v>
      </x:c>
    </x:row>
    <x:row r="169">
      <x:c r="A169" s="16" t="n">
        <x:v>20</x:v>
      </x:c>
      <x:c r="B169" s="16" t="n">
        <x:v>16</x:v>
      </x:c>
      <x:c r="C169" s="16" t="n">
        <x:v>0</x:v>
      </x:c>
      <x:c r="D169" s="36" t="n">
        <x:v>13.6341205962417</x:v>
      </x:c>
    </x:row>
    <x:row r="170">
      <x:c r="A170" s="16" t="n">
        <x:v>20</x:v>
      </x:c>
      <x:c r="B170" s="16" t="n">
        <x:v>18</x:v>
      </x:c>
      <x:c r="C170" s="16" t="n">
        <x:v>-10</x:v>
      </x:c>
      <x:c r="D170" s="36" t="n">
        <x:v>-3.98938858029329</x:v>
      </x:c>
    </x:row>
    <x:row r="171">
      <x:c r="A171" s="16" t="n">
        <x:v>20</x:v>
      </x:c>
      <x:c r="B171" s="16" t="n">
        <x:v>18</x:v>
      </x:c>
      <x:c r="C171" s="16" t="n">
        <x:v>0</x:v>
      </x:c>
      <x:c r="D171" s="36" t="n">
        <x:v>13.3896735572658</x:v>
      </x:c>
    </x:row>
    <x:row r="172">
      <x:c r="A172" s="16" t="n">
        <x:v>20</x:v>
      </x:c>
      <x:c r="B172" s="16" t="n">
        <x:v>20</x:v>
      </x:c>
      <x:c r="C172" s="16" t="n">
        <x:v>-10</x:v>
      </x:c>
      <x:c r="D172" s="36" t="n">
        <x:v>-2.24258470059194</x:v>
      </x:c>
    </x:row>
    <x:row r="173">
      <x:c r="A173" s="16" t="n">
        <x:v>20</x:v>
      </x:c>
      <x:c r="B173" s="16" t="n">
        <x:v>20</x:v>
      </x:c>
      <x:c r="C173" s="16" t="n">
        <x:v>0</x:v>
      </x:c>
      <x:c r="D173" s="36" t="n">
        <x:v>13.1838154296209</x:v>
      </x:c>
    </x:row>
    <x:row r="174">
      <x:c r="A174" s="16" t="n">
        <x:v>20</x:v>
      </x:c>
      <x:c r="B174" s="16" t="n">
        <x:v>22</x:v>
      </x:c>
      <x:c r="C174" s="16" t="n">
        <x:v>-10</x:v>
      </x:c>
      <x:c r="D174" s="36" t="n">
        <x:v>-1.28427808621881</x:v>
      </x:c>
    </x:row>
    <x:row r="175">
      <x:c r="A175" s="16" t="n">
        <x:v>20</x:v>
      </x:c>
      <x:c r="B175" s="16" t="n">
        <x:v>22</x:v>
      </x:c>
      <x:c r="C175" s="16" t="n">
        <x:v>0</x:v>
      </x:c>
      <x:c r="D175" s="36" t="n">
        <x:v>13.0071303102226</x:v>
      </x:c>
    </x:row>
    <x:row r="176">
      <x:c r="A176" s="16" t="n">
        <x:v>20</x:v>
      </x:c>
      <x:c r="B176" s="16" t="n">
        <x:v>24</x:v>
      </x:c>
      <x:c r="C176" s="16" t="n">
        <x:v>-10</x:v>
      </x:c>
      <x:c r="D176" s="36" t="n">
        <x:v>-1.80613492472951</x:v>
      </x:c>
    </x:row>
    <x:row r="177">
      <x:c r="A177" s="16" t="n">
        <x:v>20</x:v>
      </x:c>
      <x:c r="B177" s="16" t="n">
        <x:v>24</x:v>
      </x:c>
      <x:c r="C177" s="16" t="n">
        <x:v>0</x:v>
      </x:c>
      <x:c r="D177" s="36" t="n">
        <x:v>12.9425579908466</x:v>
      </x:c>
    </x:row>
    <x:row r="178">
      <x:c r="A178" s="16" t="n">
        <x:v>20</x:v>
      </x:c>
      <x:c r="B178" s="16" t="n">
        <x:v>26</x:v>
      </x:c>
      <x:c r="C178" s="16" t="n">
        <x:v>-10</x:v>
      </x:c>
      <x:c r="D178" s="36" t="n">
        <x:v>-2.14302387201468</x:v>
      </x:c>
    </x:row>
    <x:row r="179">
      <x:c r="A179" s="16" t="n">
        <x:v>20</x:v>
      </x:c>
      <x:c r="B179" s="16" t="n">
        <x:v>26</x:v>
      </x:c>
      <x:c r="C179" s="16" t="n">
        <x:v>0</x:v>
      </x:c>
      <x:c r="D179" s="36" t="n">
        <x:v>12.9429110895367</x:v>
      </x:c>
    </x:row>
    <x:row r="180">
      <x:c r="A180" s="16" t="n">
        <x:v>20</x:v>
      </x:c>
      <x:c r="B180" s="16" t="n">
        <x:v>28</x:v>
      </x:c>
      <x:c r="C180" s="16" t="n">
        <x:v>-10</x:v>
      </x:c>
      <x:c r="D180" s="36" t="n">
        <x:v>-2.16001898208909</x:v>
      </x:c>
    </x:row>
    <x:row r="181">
      <x:c r="A181" s="16" t="n">
        <x:v>20</x:v>
      </x:c>
      <x:c r="B181" s="16" t="n">
        <x:v>28</x:v>
      </x:c>
      <x:c r="C181" s="16" t="n">
        <x:v>0</x:v>
      </x:c>
      <x:c r="D181" s="36" t="n">
        <x:v>12.8683424461282</x:v>
      </x:c>
    </x:row>
    <x:row r="182">
      <x:c r="A182" s="16" t="n">
        <x:v>20</x:v>
      </x:c>
      <x:c r="B182" s="16" t="n">
        <x:v>30</x:v>
      </x:c>
      <x:c r="C182" s="16" t="n">
        <x:v>-10</x:v>
      </x:c>
      <x:c r="D182" s="36" t="n">
        <x:v>-2.29786333937216</x:v>
      </x:c>
    </x:row>
    <x:row r="183">
      <x:c r="A183" s="16" t="n">
        <x:v>20</x:v>
      </x:c>
      <x:c r="B183" s="16" t="n">
        <x:v>30</x:v>
      </x:c>
      <x:c r="C183" s="16" t="n">
        <x:v>0</x:v>
      </x:c>
      <x:c r="D183" s="36" t="n">
        <x:v>12.8595681716376</x:v>
      </x:c>
    </x:row>
    <x:row r="184">
      <x:c r="A184" s="16" t="n">
        <x:v>20</x:v>
      </x:c>
      <x:c r="B184" s="16" t="n">
        <x:v>32</x:v>
      </x:c>
      <x:c r="C184" s="16" t="n">
        <x:v>-10</x:v>
      </x:c>
      <x:c r="D184" s="36" t="n">
        <x:v>-1.63852223407963</x:v>
      </x:c>
    </x:row>
    <x:row r="185">
      <x:c r="A185" s="16" t="n">
        <x:v>20</x:v>
      </x:c>
      <x:c r="B185" s="16" t="n">
        <x:v>32</x:v>
      </x:c>
      <x:c r="C185" s="16" t="n">
        <x:v>0</x:v>
      </x:c>
      <x:c r="D185" s="36" t="n">
        <x:v>12.9009933607408</x:v>
      </x:c>
    </x:row>
    <x:row r="186">
      <x:c r="A186" s="16" t="n">
        <x:v>20</x:v>
      </x:c>
      <x:c r="B186" s="16" t="n">
        <x:v>34</x:v>
      </x:c>
      <x:c r="C186" s="16" t="n">
        <x:v>-10</x:v>
      </x:c>
      <x:c r="D186" s="36" t="n">
        <x:v>-0.621818196925798</x:v>
      </x:c>
    </x:row>
    <x:row r="187">
      <x:c r="A187" s="16" t="n">
        <x:v>20</x:v>
      </x:c>
      <x:c r="B187" s="16" t="n">
        <x:v>34</x:v>
      </x:c>
      <x:c r="C187" s="16" t="n">
        <x:v>0</x:v>
      </x:c>
      <x:c r="D187" s="36" t="n">
        <x:v>12.9389305490272</x:v>
      </x:c>
    </x:row>
    <x:row r="188">
      <x:c r="A188" s="16" t="n">
        <x:v>20</x:v>
      </x:c>
      <x:c r="B188" s="16" t="n">
        <x:v>36</x:v>
      </x:c>
      <x:c r="C188" s="16" t="n">
        <x:v>-10</x:v>
      </x:c>
      <x:c r="D188" s="36" t="n">
        <x:v>0.169338893707295</x:v>
      </x:c>
    </x:row>
    <x:row r="189">
      <x:c r="A189" s="16" t="n">
        <x:v>20</x:v>
      </x:c>
      <x:c r="B189" s="16" t="n">
        <x:v>36</x:v>
      </x:c>
      <x:c r="C189" s="16" t="n">
        <x:v>0</x:v>
      </x:c>
      <x:c r="D189" s="36" t="n">
        <x:v>13.034565114838</x:v>
      </x:c>
    </x:row>
    <x:row r="190">
      <x:c r="A190" s="16" t="n">
        <x:v>20</x:v>
      </x:c>
      <x:c r="B190" s="16" t="n">
        <x:v>38</x:v>
      </x:c>
      <x:c r="C190" s="16" t="n">
        <x:v>-10</x:v>
      </x:c>
      <x:c r="D190" s="36" t="n">
        <x:v>0.662567433750349</x:v>
      </x:c>
    </x:row>
    <x:row r="191">
      <x:c r="A191" s="16" t="n">
        <x:v>20</x:v>
      </x:c>
      <x:c r="B191" s="16" t="n">
        <x:v>38</x:v>
      </x:c>
      <x:c r="C191" s="16" t="n">
        <x:v>0</x:v>
      </x:c>
      <x:c r="D191" s="36" t="n">
        <x:v>12.9598576495239</x:v>
      </x:c>
    </x:row>
    <x:row r="192">
      <x:c r="A192" s="16" t="n">
        <x:v>20</x:v>
      </x:c>
      <x:c r="B192" s="16" t="n">
        <x:v>40</x:v>
      </x:c>
      <x:c r="C192" s="16" t="n">
        <x:v>-10</x:v>
      </x:c>
      <x:c r="D192" s="36" t="n">
        <x:v>0.996808583469362</x:v>
      </x:c>
    </x:row>
    <x:row r="193">
      <x:c r="A193" s="16" t="n">
        <x:v>20</x:v>
      </x:c>
      <x:c r="B193" s="16" t="n">
        <x:v>40</x:v>
      </x:c>
      <x:c r="C193" s="16" t="n">
        <x:v>0</x:v>
      </x:c>
      <x:c r="D193" s="36" t="n">
        <x:v>11.6167360241117</x:v>
      </x:c>
    </x:row>
    <x:row r="194">
      <x:c r="A194" s="16" t="n">
        <x:v>22</x:v>
      </x:c>
      <x:c r="B194" s="16" t="n">
        <x:v>10</x:v>
      </x:c>
      <x:c r="C194" s="16" t="n">
        <x:v>-10</x:v>
      </x:c>
      <x:c r="D194" s="36" t="n">
        <x:v>8.81903258735986</x:v>
      </x:c>
    </x:row>
    <x:row r="195">
      <x:c r="A195" s="16" t="n">
        <x:v>22</x:v>
      </x:c>
      <x:c r="B195" s="16" t="n">
        <x:v>10</x:v>
      </x:c>
      <x:c r="C195" s="16" t="n">
        <x:v>0</x:v>
      </x:c>
      <x:c r="D195" s="36" t="n">
        <x:v>7.99870069996085</x:v>
      </x:c>
    </x:row>
    <x:row r="196">
      <x:c r="A196" s="16" t="n">
        <x:v>22</x:v>
      </x:c>
      <x:c r="B196" s="16" t="n">
        <x:v>12</x:v>
      </x:c>
      <x:c r="C196" s="16" t="n">
        <x:v>-10</x:v>
      </x:c>
      <x:c r="D196" s="36" t="n">
        <x:v>6.90444063475714</x:v>
      </x:c>
    </x:row>
    <x:row r="197">
      <x:c r="A197" s="16" t="n">
        <x:v>22</x:v>
      </x:c>
      <x:c r="B197" s="16" t="n">
        <x:v>12</x:v>
      </x:c>
      <x:c r="C197" s="16" t="n">
        <x:v>0</x:v>
      </x:c>
      <x:c r="D197" s="36" t="n">
        <x:v>14.1154021089423</x:v>
      </x:c>
    </x:row>
    <x:row r="198">
      <x:c r="A198" s="16" t="n">
        <x:v>22</x:v>
      </x:c>
      <x:c r="B198" s="16" t="n">
        <x:v>14</x:v>
      </x:c>
      <x:c r="C198" s="16" t="n">
        <x:v>-10</x:v>
      </x:c>
      <x:c r="D198" s="36" t="n">
        <x:v>4.87580805983428</x:v>
      </x:c>
    </x:row>
    <x:row r="199">
      <x:c r="A199" s="16" t="n">
        <x:v>22</x:v>
      </x:c>
      <x:c r="B199" s="16" t="n">
        <x:v>14</x:v>
      </x:c>
      <x:c r="C199" s="16" t="n">
        <x:v>0</x:v>
      </x:c>
      <x:c r="D199" s="36" t="n">
        <x:v>14.4055009288466</x:v>
      </x:c>
    </x:row>
    <x:row r="200">
      <x:c r="A200" s="16" t="n">
        <x:v>22</x:v>
      </x:c>
      <x:c r="B200" s="16" t="n">
        <x:v>16</x:v>
      </x:c>
      <x:c r="C200" s="16" t="n">
        <x:v>-10</x:v>
      </x:c>
      <x:c r="D200" s="36" t="n">
        <x:v>2.63843738932645</x:v>
      </x:c>
    </x:row>
    <x:row r="201">
      <x:c r="A201" s="16" t="n">
        <x:v>22</x:v>
      </x:c>
      <x:c r="B201" s="16" t="n">
        <x:v>16</x:v>
      </x:c>
      <x:c r="C201" s="16" t="n">
        <x:v>0</x:v>
      </x:c>
      <x:c r="D201" s="36" t="n">
        <x:v>13.9193883613823</x:v>
      </x:c>
    </x:row>
    <x:row r="202">
      <x:c r="A202" s="16" t="n">
        <x:v>22</x:v>
      </x:c>
      <x:c r="B202" s="16" t="n">
        <x:v>18</x:v>
      </x:c>
      <x:c r="C202" s="16" t="n">
        <x:v>-10</x:v>
      </x:c>
      <x:c r="D202" s="36" t="n">
        <x:v>0.159418051827758</x:v>
      </x:c>
    </x:row>
    <x:row r="203">
      <x:c r="A203" s="16" t="n">
        <x:v>22</x:v>
      </x:c>
      <x:c r="B203" s="16" t="n">
        <x:v>18</x:v>
      </x:c>
      <x:c r="C203" s="16" t="n">
        <x:v>0</x:v>
      </x:c>
      <x:c r="D203" s="36" t="n">
        <x:v>13.5191357235908</x:v>
      </x:c>
    </x:row>
    <x:row r="204">
      <x:c r="A204" s="16" t="n">
        <x:v>22</x:v>
      </x:c>
      <x:c r="B204" s="16" t="n">
        <x:v>20</x:v>
      </x:c>
      <x:c r="C204" s="16" t="n">
        <x:v>-10</x:v>
      </x:c>
      <x:c r="D204" s="36" t="n">
        <x:v>-0.546702381365209</x:v>
      </x:c>
    </x:row>
    <x:row r="205">
      <x:c r="A205" s="16" t="n">
        <x:v>22</x:v>
      </x:c>
      <x:c r="B205" s="16" t="n">
        <x:v>20</x:v>
      </x:c>
      <x:c r="C205" s="16" t="n">
        <x:v>0</x:v>
      </x:c>
      <x:c r="D205" s="36" t="n">
        <x:v>13.2671385342159</x:v>
      </x:c>
    </x:row>
    <x:row r="206">
      <x:c r="A206" s="16" t="n">
        <x:v>22</x:v>
      </x:c>
      <x:c r="B206" s="16" t="n">
        <x:v>22</x:v>
      </x:c>
      <x:c r="C206" s="16" t="n">
        <x:v>-10</x:v>
      </x:c>
      <x:c r="D206" s="36" t="n">
        <x:v>2.63086978223695</x:v>
      </x:c>
    </x:row>
    <x:row r="207">
      <x:c r="A207" s="16" t="n">
        <x:v>22</x:v>
      </x:c>
      <x:c r="B207" s="16" t="n">
        <x:v>22</x:v>
      </x:c>
      <x:c r="C207" s="16" t="n">
        <x:v>0</x:v>
      </x:c>
      <x:c r="D207" s="36" t="n">
        <x:v>13.0968973954897</x:v>
      </x:c>
    </x:row>
    <x:row r="208">
      <x:c r="A208" s="16" t="n">
        <x:v>22</x:v>
      </x:c>
      <x:c r="B208" s="16" t="n">
        <x:v>24</x:v>
      </x:c>
      <x:c r="C208" s="16" t="n">
        <x:v>-10</x:v>
      </x:c>
      <x:c r="D208" s="36" t="n">
        <x:v>2.21195742839911</x:v>
      </x:c>
    </x:row>
    <x:row r="209">
      <x:c r="A209" s="16" t="n">
        <x:v>22</x:v>
      </x:c>
      <x:c r="B209" s="16" t="n">
        <x:v>24</x:v>
      </x:c>
      <x:c r="C209" s="16" t="n">
        <x:v>0</x:v>
      </x:c>
      <x:c r="D209" s="36" t="n">
        <x:v>12.9703924595029</x:v>
      </x:c>
    </x:row>
    <x:row r="210">
      <x:c r="A210" s="16" t="n">
        <x:v>22</x:v>
      </x:c>
      <x:c r="B210" s="16" t="n">
        <x:v>26</x:v>
      </x:c>
      <x:c r="C210" s="16" t="n">
        <x:v>-10</x:v>
      </x:c>
      <x:c r="D210" s="36" t="n">
        <x:v>1.70283251572843</x:v>
      </x:c>
    </x:row>
    <x:row r="211">
      <x:c r="A211" s="16" t="n">
        <x:v>22</x:v>
      </x:c>
      <x:c r="B211" s="16" t="n">
        <x:v>26</x:v>
      </x:c>
      <x:c r="C211" s="16" t="n">
        <x:v>0</x:v>
      </x:c>
      <x:c r="D211" s="36" t="n">
        <x:v>12.94653915066</x:v>
      </x:c>
    </x:row>
    <x:row r="212">
      <x:c r="A212" s="16" t="n">
        <x:v>22</x:v>
      </x:c>
      <x:c r="B212" s="16" t="n">
        <x:v>28</x:v>
      </x:c>
      <x:c r="C212" s="16" t="n">
        <x:v>-10</x:v>
      </x:c>
      <x:c r="D212" s="36" t="n">
        <x:v>1.39358776301435</x:v>
      </x:c>
    </x:row>
    <x:row r="213">
      <x:c r="A213" s="16" t="n">
        <x:v>22</x:v>
      </x:c>
      <x:c r="B213" s="16" t="n">
        <x:v>28</x:v>
      </x:c>
      <x:c r="C213" s="16" t="n">
        <x:v>0</x:v>
      </x:c>
      <x:c r="D213" s="36" t="n">
        <x:v>12.8199256137247</x:v>
      </x:c>
    </x:row>
    <x:row r="214">
      <x:c r="A214" s="16" t="n">
        <x:v>22</x:v>
      </x:c>
      <x:c r="B214" s="16" t="n">
        <x:v>30</x:v>
      </x:c>
      <x:c r="C214" s="16" t="n">
        <x:v>-10</x:v>
      </x:c>
      <x:c r="D214" s="36" t="n">
        <x:v>1.42534950057463</x:v>
      </x:c>
    </x:row>
    <x:row r="215">
      <x:c r="A215" s="16" t="n">
        <x:v>22</x:v>
      </x:c>
      <x:c r="B215" s="16" t="n">
        <x:v>30</x:v>
      </x:c>
      <x:c r="C215" s="16" t="n">
        <x:v>0</x:v>
      </x:c>
      <x:c r="D215" s="36" t="n">
        <x:v>12.8412392064656</x:v>
      </x:c>
    </x:row>
    <x:row r="216">
      <x:c r="A216" s="16" t="n">
        <x:v>22</x:v>
      </x:c>
      <x:c r="B216" s="16" t="n">
        <x:v>32</x:v>
      </x:c>
      <x:c r="C216" s="16" t="n">
        <x:v>-10</x:v>
      </x:c>
      <x:c r="D216" s="36" t="n">
        <x:v>1.53295448451983</x:v>
      </x:c>
    </x:row>
    <x:row r="217">
      <x:c r="A217" s="16" t="n">
        <x:v>22</x:v>
      </x:c>
      <x:c r="B217" s="16" t="n">
        <x:v>32</x:v>
      </x:c>
      <x:c r="C217" s="16" t="n">
        <x:v>0</x:v>
      </x:c>
      <x:c r="D217" s="36" t="n">
        <x:v>12.7381126869355</x:v>
      </x:c>
    </x:row>
    <x:row r="218">
      <x:c r="A218" s="16" t="n">
        <x:v>22</x:v>
      </x:c>
      <x:c r="B218" s="16" t="n">
        <x:v>34</x:v>
      </x:c>
      <x:c r="C218" s="16" t="n">
        <x:v>-10</x:v>
      </x:c>
      <x:c r="D218" s="36" t="n">
        <x:v>2.37662833976425</x:v>
      </x:c>
    </x:row>
    <x:row r="219">
      <x:c r="A219" s="16" t="n">
        <x:v>22</x:v>
      </x:c>
      <x:c r="B219" s="16" t="n">
        <x:v>34</x:v>
      </x:c>
      <x:c r="C219" s="16" t="n">
        <x:v>0</x:v>
      </x:c>
      <x:c r="D219" s="36" t="n">
        <x:v>12.9013016570162</x:v>
      </x:c>
    </x:row>
    <x:row r="220">
      <x:c r="A220" s="16" t="n">
        <x:v>22</x:v>
      </x:c>
      <x:c r="B220" s="16" t="n">
        <x:v>36</x:v>
      </x:c>
      <x:c r="C220" s="16" t="n">
        <x:v>-10</x:v>
      </x:c>
      <x:c r="D220" s="36" t="n">
        <x:v>3.29017733148032</x:v>
      </x:c>
    </x:row>
    <x:row r="221">
      <x:c r="A221" s="16" t="n">
        <x:v>22</x:v>
      </x:c>
      <x:c r="B221" s="16" t="n">
        <x:v>36</x:v>
      </x:c>
      <x:c r="C221" s="16" t="n">
        <x:v>0</x:v>
      </x:c>
      <x:c r="D221" s="36" t="n">
        <x:v>13.0337203352967</x:v>
      </x:c>
    </x:row>
    <x:row r="222">
      <x:c r="A222" s="16" t="n">
        <x:v>22</x:v>
      </x:c>
      <x:c r="B222" s="16" t="n">
        <x:v>38</x:v>
      </x:c>
      <x:c r="C222" s="16" t="n">
        <x:v>-10</x:v>
      </x:c>
      <x:c r="D222" s="36" t="n">
        <x:v>3.57006033882261</x:v>
      </x:c>
    </x:row>
    <x:row r="223">
      <x:c r="A223" s="16" t="n">
        <x:v>22</x:v>
      </x:c>
      <x:c r="B223" s="16" t="n">
        <x:v>38</x:v>
      </x:c>
      <x:c r="C223" s="16" t="n">
        <x:v>0</x:v>
      </x:c>
      <x:c r="D223" s="36" t="n">
        <x:v>13.0663783795014</x:v>
      </x:c>
    </x:row>
    <x:row r="224">
      <x:c r="A224" s="16" t="n">
        <x:v>22</x:v>
      </x:c>
      <x:c r="B224" s="16" t="n">
        <x:v>40</x:v>
      </x:c>
      <x:c r="C224" s="16" t="n">
        <x:v>-10</x:v>
      </x:c>
      <x:c r="D224" s="36" t="n">
        <x:v>4.03485147593644</x:v>
      </x:c>
    </x:row>
    <x:row r="225">
      <x:c r="A225" s="16" t="n">
        <x:v>22</x:v>
      </x:c>
      <x:c r="B225" s="16" t="n">
        <x:v>40</x:v>
      </x:c>
      <x:c r="C225" s="16" t="n">
        <x:v>0</x:v>
      </x:c>
      <x:c r="D225" s="36" t="n">
        <x:v>12.7848284401384</x:v>
      </x:c>
    </x:row>
    <x:row r="226">
      <x:c r="A226" s="16" t="n">
        <x:v>24</x:v>
      </x:c>
      <x:c r="B226" s="16" t="n">
        <x:v>10</x:v>
      </x:c>
      <x:c r="C226" s="16" t="n">
        <x:v>-10</x:v>
      </x:c>
      <x:c r="D226" s="36" t="n">
        <x:v>12.5663313294865</x:v>
      </x:c>
    </x:row>
    <x:row r="227">
      <x:c r="A227" s="16" t="n">
        <x:v>24</x:v>
      </x:c>
      <x:c r="B227" s="16" t="n">
        <x:v>10</x:v>
      </x:c>
      <x:c r="C227" s="16" t="n">
        <x:v>0</x:v>
      </x:c>
      <x:c r="D227" s="36" t="n">
        <x:v>4.96214685329541</x:v>
      </x:c>
    </x:row>
    <x:row r="228">
      <x:c r="A228" s="16" t="n">
        <x:v>24</x:v>
      </x:c>
      <x:c r="B228" s="16" t="n">
        <x:v>12</x:v>
      </x:c>
      <x:c r="C228" s="16" t="n">
        <x:v>-10</x:v>
      </x:c>
      <x:c r="D228" s="36" t="n">
        <x:v>10.9613040322073</x:v>
      </x:c>
    </x:row>
    <x:row r="229">
      <x:c r="A229" s="16" t="n">
        <x:v>24</x:v>
      </x:c>
      <x:c r="B229" s="16" t="n">
        <x:v>12</x:v>
      </x:c>
      <x:c r="C229" s="16" t="n">
        <x:v>0</x:v>
      </x:c>
      <x:c r="D229" s="36" t="n">
        <x:v>11.8288819094304</x:v>
      </x:c>
    </x:row>
    <x:row r="230">
      <x:c r="A230" s="16" t="n">
        <x:v>24</x:v>
      </x:c>
      <x:c r="B230" s="16" t="n">
        <x:v>14</x:v>
      </x:c>
      <x:c r="C230" s="16" t="n">
        <x:v>-10</x:v>
      </x:c>
      <x:c r="D230" s="36" t="n">
        <x:v>9.24976316228207</x:v>
      </x:c>
    </x:row>
    <x:row r="231">
      <x:c r="A231" s="16" t="n">
        <x:v>24</x:v>
      </x:c>
      <x:c r="B231" s="16" t="n">
        <x:v>14</x:v>
      </x:c>
      <x:c r="C231" s="16" t="n">
        <x:v>0</x:v>
      </x:c>
      <x:c r="D231" s="36" t="n">
        <x:v>14.6448389201577</x:v>
      </x:c>
    </x:row>
    <x:row r="232">
      <x:c r="A232" s="16" t="n">
        <x:v>24</x:v>
      </x:c>
      <x:c r="B232" s="16" t="n">
        <x:v>16</x:v>
      </x:c>
      <x:c r="C232" s="16" t="n">
        <x:v>-10</x:v>
      </x:c>
      <x:c r="D232" s="36" t="n">
        <x:v>7.36036971221795</x:v>
      </x:c>
    </x:row>
    <x:row r="233">
      <x:c r="A233" s="16" t="n">
        <x:v>24</x:v>
      </x:c>
      <x:c r="B233" s="16" t="n">
        <x:v>16</x:v>
      </x:c>
      <x:c r="C233" s="16" t="n">
        <x:v>0</x:v>
      </x:c>
      <x:c r="D233" s="36" t="n">
        <x:v>14.2138829670528</x:v>
      </x:c>
    </x:row>
    <x:row r="234">
      <x:c r="A234" s="16" t="n">
        <x:v>24</x:v>
      </x:c>
      <x:c r="B234" s="16" t="n">
        <x:v>18</x:v>
      </x:c>
      <x:c r="C234" s="16" t="n">
        <x:v>-10</x:v>
      </x:c>
      <x:c r="D234" s="36" t="n">
        <x:v>5.34873876721624</x:v>
      </x:c>
    </x:row>
    <x:row r="235">
      <x:c r="A235" s="16" t="n">
        <x:v>24</x:v>
      </x:c>
      <x:c r="B235" s="16" t="n">
        <x:v>18</x:v>
      </x:c>
      <x:c r="C235" s="16" t="n">
        <x:v>0</x:v>
      </x:c>
      <x:c r="D235" s="36" t="n">
        <x:v>13.7398062207843</x:v>
      </x:c>
    </x:row>
    <x:row r="236">
      <x:c r="A236" s="16" t="n">
        <x:v>24</x:v>
      </x:c>
      <x:c r="B236" s="16" t="n">
        <x:v>20</x:v>
      </x:c>
      <x:c r="C236" s="16" t="n">
        <x:v>-10</x:v>
      </x:c>
      <x:c r="D236" s="36" t="n">
        <x:v>3.57930905181443</x:v>
      </x:c>
    </x:row>
    <x:row r="237">
      <x:c r="A237" s="16" t="n">
        <x:v>24</x:v>
      </x:c>
      <x:c r="B237" s="16" t="n">
        <x:v>20</x:v>
      </x:c>
      <x:c r="C237" s="16" t="n">
        <x:v>0</x:v>
      </x:c>
      <x:c r="D237" s="36" t="n">
        <x:v>13.3964936407216</x:v>
      </x:c>
    </x:row>
    <x:row r="238">
      <x:c r="A238" s="16" t="n">
        <x:v>24</x:v>
      </x:c>
      <x:c r="B238" s="16" t="n">
        <x:v>22</x:v>
      </x:c>
      <x:c r="C238" s="16" t="n">
        <x:v>-10</x:v>
      </x:c>
      <x:c r="D238" s="36" t="n">
        <x:v>6.2723521920917</x:v>
      </x:c>
    </x:row>
    <x:row r="239">
      <x:c r="A239" s="16" t="n">
        <x:v>24</x:v>
      </x:c>
      <x:c r="B239" s="16" t="n">
        <x:v>22</x:v>
      </x:c>
      <x:c r="C239" s="16" t="n">
        <x:v>0</x:v>
      </x:c>
      <x:c r="D239" s="36" t="n">
        <x:v>13.1532986553929</x:v>
      </x:c>
    </x:row>
    <x:row r="240">
      <x:c r="A240" s="16" t="n">
        <x:v>24</x:v>
      </x:c>
      <x:c r="B240" s="16" t="n">
        <x:v>24</x:v>
      </x:c>
      <x:c r="C240" s="16" t="n">
        <x:v>-10</x:v>
      </x:c>
      <x:c r="D240" s="36" t="n">
        <x:v>7.41486416032328</x:v>
      </x:c>
    </x:row>
    <x:row r="241">
      <x:c r="A241" s="16" t="n">
        <x:v>24</x:v>
      </x:c>
      <x:c r="B241" s="16" t="n">
        <x:v>24</x:v>
      </x:c>
      <x:c r="C241" s="16" t="n">
        <x:v>0</x:v>
      </x:c>
      <x:c r="D241" s="36" t="n">
        <x:v>13.0557139498818</x:v>
      </x:c>
    </x:row>
    <x:row r="242">
      <x:c r="A242" s="16" t="n">
        <x:v>24</x:v>
      </x:c>
      <x:c r="B242" s="16" t="n">
        <x:v>26</x:v>
      </x:c>
      <x:c r="C242" s="16" t="n">
        <x:v>-10</x:v>
      </x:c>
      <x:c r="D242" s="36" t="n">
        <x:v>6.71199341159449</x:v>
      </x:c>
    </x:row>
    <x:row r="243">
      <x:c r="A243" s="16" t="n">
        <x:v>24</x:v>
      </x:c>
      <x:c r="B243" s="16" t="n">
        <x:v>26</x:v>
      </x:c>
      <x:c r="C243" s="16" t="n">
        <x:v>0</x:v>
      </x:c>
      <x:c r="D243" s="36" t="n">
        <x:v>12.9310032255401</x:v>
      </x:c>
    </x:row>
    <x:row r="244">
      <x:c r="A244" s="16" t="n">
        <x:v>24</x:v>
      </x:c>
      <x:c r="B244" s="16" t="n">
        <x:v>28</x:v>
      </x:c>
      <x:c r="C244" s="16" t="n">
        <x:v>-10</x:v>
      </x:c>
      <x:c r="D244" s="36" t="n">
        <x:v>6.07008384960353</x:v>
      </x:c>
    </x:row>
    <x:row r="245">
      <x:c r="A245" s="16" t="n">
        <x:v>24</x:v>
      </x:c>
      <x:c r="B245" s="16" t="n">
        <x:v>28</x:v>
      </x:c>
      <x:c r="C245" s="16" t="n">
        <x:v>0</x:v>
      </x:c>
      <x:c r="D245" s="36" t="n">
        <x:v>12.7698010832252</x:v>
      </x:c>
    </x:row>
    <x:row r="246">
      <x:c r="A246" s="16" t="n">
        <x:v>24</x:v>
      </x:c>
      <x:c r="B246" s="16" t="n">
        <x:v>30</x:v>
      </x:c>
      <x:c r="C246" s="16" t="n">
        <x:v>-10</x:v>
      </x:c>
      <x:c r="D246" s="36" t="n">
        <x:v>5.98368531121058</x:v>
      </x:c>
    </x:row>
    <x:row r="247">
      <x:c r="A247" s="16" t="n">
        <x:v>24</x:v>
      </x:c>
      <x:c r="B247" s="16" t="n">
        <x:v>30</x:v>
      </x:c>
      <x:c r="C247" s="16" t="n">
        <x:v>0</x:v>
      </x:c>
      <x:c r="D247" s="36" t="n">
        <x:v>12.9301604266735</x:v>
      </x:c>
    </x:row>
    <x:row r="248">
      <x:c r="A248" s="16" t="n">
        <x:v>24</x:v>
      </x:c>
      <x:c r="B248" s="16" t="n">
        <x:v>32</x:v>
      </x:c>
      <x:c r="C248" s="16" t="n">
        <x:v>-10</x:v>
      </x:c>
      <x:c r="D248" s="36" t="n">
        <x:v>5.81638633962035</x:v>
      </x:c>
    </x:row>
    <x:row r="249">
      <x:c r="A249" s="16" t="n">
        <x:v>24</x:v>
      </x:c>
      <x:c r="B249" s="16" t="n">
        <x:v>32</x:v>
      </x:c>
      <x:c r="C249" s="16" t="n">
        <x:v>0</x:v>
      </x:c>
      <x:c r="D249" s="36" t="n">
        <x:v>12.7188009936762</x:v>
      </x:c>
    </x:row>
    <x:row r="250">
      <x:c r="A250" s="16" t="n">
        <x:v>24</x:v>
      </x:c>
      <x:c r="B250" s="16" t="n">
        <x:v>34</x:v>
      </x:c>
      <x:c r="C250" s="16" t="n">
        <x:v>-10</x:v>
      </x:c>
      <x:c r="D250" s="36" t="n">
        <x:v>6.4477660312935</x:v>
      </x:c>
    </x:row>
    <x:row r="251">
      <x:c r="A251" s="16" t="n">
        <x:v>24</x:v>
      </x:c>
      <x:c r="B251" s="16" t="n">
        <x:v>34</x:v>
      </x:c>
      <x:c r="C251" s="16" t="n">
        <x:v>0</x:v>
      </x:c>
      <x:c r="D251" s="36" t="n">
        <x:v>12.8214420211695</x:v>
      </x:c>
    </x:row>
    <x:row r="252">
      <x:c r="A252" s="16" t="n">
        <x:v>24</x:v>
      </x:c>
      <x:c r="B252" s="16" t="n">
        <x:v>36</x:v>
      </x:c>
      <x:c r="C252" s="16" t="n">
        <x:v>-10</x:v>
      </x:c>
      <x:c r="D252" s="36" t="n">
        <x:v>7.33731318377586</x:v>
      </x:c>
    </x:row>
    <x:row r="253">
      <x:c r="A253" s="16" t="n">
        <x:v>24</x:v>
      </x:c>
      <x:c r="B253" s="16" t="n">
        <x:v>36</x:v>
      </x:c>
      <x:c r="C253" s="16" t="n">
        <x:v>0</x:v>
      </x:c>
      <x:c r="D253" s="36" t="n">
        <x:v>12.8969475167635</x:v>
      </x:c>
    </x:row>
    <x:row r="254">
      <x:c r="A254" s="16" t="n">
        <x:v>24</x:v>
      </x:c>
      <x:c r="B254" s="16" t="n">
        <x:v>38</x:v>
      </x:c>
      <x:c r="C254" s="16" t="n">
        <x:v>-10</x:v>
      </x:c>
      <x:c r="D254" s="36" t="n">
        <x:v>7.98607139775159</x:v>
      </x:c>
    </x:row>
    <x:row r="255">
      <x:c r="A255" s="16" t="n">
        <x:v>24</x:v>
      </x:c>
      <x:c r="B255" s="16" t="n">
        <x:v>38</x:v>
      </x:c>
      <x:c r="C255" s="16" t="n">
        <x:v>0</x:v>
      </x:c>
      <x:c r="D255" s="36" t="n">
        <x:v>12.9711255149122</x:v>
      </x:c>
    </x:row>
    <x:row r="256">
      <x:c r="A256" s="16" t="n">
        <x:v>24</x:v>
      </x:c>
      <x:c r="B256" s="16" t="n">
        <x:v>40</x:v>
      </x:c>
      <x:c r="C256" s="16" t="n">
        <x:v>-10</x:v>
      </x:c>
      <x:c r="D256" s="36" t="n">
        <x:v>8.43344248729732</x:v>
      </x:c>
    </x:row>
    <x:row r="257">
      <x:c r="A257" s="16" t="n">
        <x:v>24</x:v>
      </x:c>
      <x:c r="B257" s="16" t="n">
        <x:v>40</x:v>
      </x:c>
      <x:c r="C257" s="16" t="n">
        <x:v>0</x:v>
      </x:c>
      <x:c r="D257" s="36" t="n">
        <x:v>12.9541303862991</x:v>
      </x:c>
    </x:row>
    <x:row r="258">
      <x:c r="A258" s="16" t="n">
        <x:v>26</x:v>
      </x:c>
      <x:c r="B258" s="16" t="n">
        <x:v>10</x:v>
      </x:c>
      <x:c r="C258" s="16" t="n">
        <x:v>-10</x:v>
      </x:c>
      <x:c r="D258" s="36" t="n">
        <x:v>14.5372913773411</x:v>
      </x:c>
    </x:row>
    <x:row r="259">
      <x:c r="A259" s="16" t="n">
        <x:v>26</x:v>
      </x:c>
      <x:c r="B259" s="16" t="n">
        <x:v>10</x:v>
      </x:c>
      <x:c r="C259" s="16" t="n">
        <x:v>0</x:v>
      </x:c>
      <x:c r="D259" s="36" t="n">
        <x:v>3.24599641278035</x:v>
      </x:c>
    </x:row>
    <x:row r="260">
      <x:c r="A260" s="16" t="n">
        <x:v>26</x:v>
      </x:c>
      <x:c r="B260" s="16" t="n">
        <x:v>12</x:v>
      </x:c>
      <x:c r="C260" s="16" t="n">
        <x:v>-10</x:v>
      </x:c>
      <x:c r="D260" s="36" t="n">
        <x:v>13.1980004312804</x:v>
      </x:c>
    </x:row>
    <x:row r="261">
      <x:c r="A261" s="16" t="n">
        <x:v>26</x:v>
      </x:c>
      <x:c r="B261" s="16" t="n">
        <x:v>12</x:v>
      </x:c>
      <x:c r="C261" s="16" t="n">
        <x:v>0</x:v>
      </x:c>
      <x:c r="D261" s="36" t="n">
        <x:v>8.11865685773872</x:v>
      </x:c>
    </x:row>
    <x:row r="262">
      <x:c r="A262" s="16" t="n">
        <x:v>26</x:v>
      </x:c>
      <x:c r="B262" s="16" t="n">
        <x:v>14</x:v>
      </x:c>
      <x:c r="C262" s="16" t="n">
        <x:v>-10</x:v>
      </x:c>
      <x:c r="D262" s="36" t="n">
        <x:v>11.860200394901</x:v>
      </x:c>
    </x:row>
    <x:row r="263">
      <x:c r="A263" s="16" t="n">
        <x:v>26</x:v>
      </x:c>
      <x:c r="B263" s="16" t="n">
        <x:v>14</x:v>
      </x:c>
      <x:c r="C263" s="16" t="n">
        <x:v>0</x:v>
      </x:c>
      <x:c r="D263" s="36" t="n">
        <x:v>14.173527221856</x:v>
      </x:c>
    </x:row>
    <x:row r="264">
      <x:c r="A264" s="16" t="n">
        <x:v>26</x:v>
      </x:c>
      <x:c r="B264" s="16" t="n">
        <x:v>16</x:v>
      </x:c>
      <x:c r="C264" s="16" t="n">
        <x:v>-10</x:v>
      </x:c>
      <x:c r="D264" s="36" t="n">
        <x:v>10.3267412404288</x:v>
      </x:c>
    </x:row>
    <x:row r="265">
      <x:c r="A265" s="16" t="n">
        <x:v>26</x:v>
      </x:c>
      <x:c r="B265" s="16" t="n">
        <x:v>16</x:v>
      </x:c>
      <x:c r="C265" s="16" t="n">
        <x:v>0</x:v>
      </x:c>
      <x:c r="D265" s="36" t="n">
        <x:v>14.5351479715364</x:v>
      </x:c>
    </x:row>
    <x:row r="266">
      <x:c r="A266" s="16" t="n">
        <x:v>26</x:v>
      </x:c>
      <x:c r="B266" s="16" t="n">
        <x:v>18</x:v>
      </x:c>
      <x:c r="C266" s="16" t="n">
        <x:v>-10</x:v>
      </x:c>
      <x:c r="D266" s="36" t="n">
        <x:v>8.63425784177095</x:v>
      </x:c>
    </x:row>
    <x:row r="267">
      <x:c r="A267" s="16" t="n">
        <x:v>26</x:v>
      </x:c>
      <x:c r="B267" s="16" t="n">
        <x:v>18</x:v>
      </x:c>
      <x:c r="C267" s="16" t="n">
        <x:v>0</x:v>
      </x:c>
      <x:c r="D267" s="36" t="n">
        <x:v>13.9215441609077</x:v>
      </x:c>
    </x:row>
    <x:row r="268">
      <x:c r="A268" s="16" t="n">
        <x:v>26</x:v>
      </x:c>
      <x:c r="B268" s="16" t="n">
        <x:v>20</x:v>
      </x:c>
      <x:c r="C268" s="16" t="n">
        <x:v>-10</x:v>
      </x:c>
      <x:c r="D268" s="36" t="n">
        <x:v>6.85629122170423</x:v>
      </x:c>
    </x:row>
    <x:row r="269">
      <x:c r="A269" s="16" t="n">
        <x:v>26</x:v>
      </x:c>
      <x:c r="B269" s="16" t="n">
        <x:v>20</x:v>
      </x:c>
      <x:c r="C269" s="16" t="n">
        <x:v>0</x:v>
      </x:c>
      <x:c r="D269" s="36" t="n">
        <x:v>13.4656527910238</x:v>
      </x:c>
    </x:row>
    <x:row r="270">
      <x:c r="A270" s="16" t="n">
        <x:v>26</x:v>
      </x:c>
      <x:c r="B270" s="16" t="n">
        <x:v>22</x:v>
      </x:c>
      <x:c r="C270" s="16" t="n">
        <x:v>-10</x:v>
      </x:c>
      <x:c r="D270" s="36" t="n">
        <x:v>7.07404241292143</x:v>
      </x:c>
    </x:row>
    <x:row r="271">
      <x:c r="A271" s="16" t="n">
        <x:v>26</x:v>
      </x:c>
      <x:c r="B271" s="16" t="n">
        <x:v>22</x:v>
      </x:c>
      <x:c r="C271" s="16" t="n">
        <x:v>0</x:v>
      </x:c>
      <x:c r="D271" s="36" t="n">
        <x:v>13.2211206501163</x:v>
      </x:c>
    </x:row>
    <x:row r="272">
      <x:c r="A272" s="16" t="n">
        <x:v>26</x:v>
      </x:c>
      <x:c r="B272" s="16" t="n">
        <x:v>24</x:v>
      </x:c>
      <x:c r="C272" s="16" t="n">
        <x:v>-10</x:v>
      </x:c>
      <x:c r="D272" s="36" t="n">
        <x:v>10.8292676330793</x:v>
      </x:c>
    </x:row>
    <x:row r="273">
      <x:c r="A273" s="16" t="n">
        <x:v>26</x:v>
      </x:c>
      <x:c r="B273" s="16" t="n">
        <x:v>24</x:v>
      </x:c>
      <x:c r="C273" s="16" t="n">
        <x:v>0</x:v>
      </x:c>
      <x:c r="D273" s="36" t="n">
        <x:v>13.0782999380436</x:v>
      </x:c>
    </x:row>
    <x:row r="274">
      <x:c r="A274" s="16" t="n">
        <x:v>26</x:v>
      </x:c>
      <x:c r="B274" s="16" t="n">
        <x:v>26</x:v>
      </x:c>
      <x:c r="C274" s="16" t="n">
        <x:v>-10</x:v>
      </x:c>
      <x:c r="D274" s="36" t="n">
        <x:v>10.2978076331289</x:v>
      </x:c>
    </x:row>
    <x:row r="275">
      <x:c r="A275" s="16" t="n">
        <x:v>26</x:v>
      </x:c>
      <x:c r="B275" s="16" t="n">
        <x:v>26</x:v>
      </x:c>
      <x:c r="C275" s="16" t="n">
        <x:v>0</x:v>
      </x:c>
      <x:c r="D275" s="36" t="n">
        <x:v>12.9409690131511</x:v>
      </x:c>
    </x:row>
    <x:row r="276">
      <x:c r="A276" s="16" t="n">
        <x:v>26</x:v>
      </x:c>
      <x:c r="B276" s="16" t="n">
        <x:v>28</x:v>
      </x:c>
      <x:c r="C276" s="16" t="n">
        <x:v>-10</x:v>
      </x:c>
      <x:c r="D276" s="36" t="n">
        <x:v>9.65381690100454</x:v>
      </x:c>
    </x:row>
    <x:row r="277">
      <x:c r="A277" s="16" t="n">
        <x:v>26</x:v>
      </x:c>
      <x:c r="B277" s="16" t="n">
        <x:v>28</x:v>
      </x:c>
      <x:c r="C277" s="16" t="n">
        <x:v>0</x:v>
      </x:c>
      <x:c r="D277" s="36" t="n">
        <x:v>12.8417847854857</x:v>
      </x:c>
    </x:row>
    <x:row r="278">
      <x:c r="A278" s="16" t="n">
        <x:v>26</x:v>
      </x:c>
      <x:c r="B278" s="16" t="n">
        <x:v>30</x:v>
      </x:c>
      <x:c r="C278" s="16" t="n">
        <x:v>-10</x:v>
      </x:c>
      <x:c r="D278" s="36" t="n">
        <x:v>9.26778186510686</x:v>
      </x:c>
    </x:row>
    <x:row r="279">
      <x:c r="A279" s="16" t="n">
        <x:v>26</x:v>
      </x:c>
      <x:c r="B279" s="16" t="n">
        <x:v>30</x:v>
      </x:c>
      <x:c r="C279" s="16" t="n">
        <x:v>0</x:v>
      </x:c>
      <x:c r="D279" s="36" t="n">
        <x:v>12.8604921845716</x:v>
      </x:c>
    </x:row>
    <x:row r="280">
      <x:c r="A280" s="16" t="n">
        <x:v>26</x:v>
      </x:c>
      <x:c r="B280" s="16" t="n">
        <x:v>32</x:v>
      </x:c>
      <x:c r="C280" s="16" t="n">
        <x:v>-10</x:v>
      </x:c>
      <x:c r="D280" s="36" t="n">
        <x:v>9.11178349157937</x:v>
      </x:c>
    </x:row>
    <x:row r="281">
      <x:c r="A281" s="16" t="n">
        <x:v>26</x:v>
      </x:c>
      <x:c r="B281" s="16" t="n">
        <x:v>32</x:v>
      </x:c>
      <x:c r="C281" s="16" t="n">
        <x:v>0</x:v>
      </x:c>
      <x:c r="D281" s="36" t="n">
        <x:v>12.7423527989465</x:v>
      </x:c>
    </x:row>
    <x:row r="282">
      <x:c r="A282" s="16" t="n">
        <x:v>26</x:v>
      </x:c>
      <x:c r="B282" s="16" t="n">
        <x:v>34</x:v>
      </x:c>
      <x:c r="C282" s="16" t="n">
        <x:v>-10</x:v>
      </x:c>
      <x:c r="D282" s="36" t="n">
        <x:v>9.32769250433679</x:v>
      </x:c>
    </x:row>
    <x:row r="283">
      <x:c r="A283" s="16" t="n">
        <x:v>26</x:v>
      </x:c>
      <x:c r="B283" s="16" t="n">
        <x:v>34</x:v>
      </x:c>
      <x:c r="C283" s="16" t="n">
        <x:v>0</x:v>
      </x:c>
      <x:c r="D283" s="36" t="n">
        <x:v>12.9100057019625</x:v>
      </x:c>
    </x:row>
    <x:row r="284">
      <x:c r="A284" s="16" t="n">
        <x:v>26</x:v>
      </x:c>
      <x:c r="B284" s="16" t="n">
        <x:v>36</x:v>
      </x:c>
      <x:c r="C284" s="16" t="n">
        <x:v>-10</x:v>
      </x:c>
      <x:c r="D284" s="36" t="n">
        <x:v>10.1345312412941</x:v>
      </x:c>
    </x:row>
    <x:row r="285">
      <x:c r="A285" s="16" t="n">
        <x:v>26</x:v>
      </x:c>
      <x:c r="B285" s="16" t="n">
        <x:v>36</x:v>
      </x:c>
      <x:c r="C285" s="16" t="n">
        <x:v>0</x:v>
      </x:c>
      <x:c r="D285" s="36" t="n">
        <x:v>12.864497426863</x:v>
      </x:c>
    </x:row>
    <x:row r="286">
      <x:c r="A286" s="16" t="n">
        <x:v>26</x:v>
      </x:c>
      <x:c r="B286" s="16" t="n">
        <x:v>38</x:v>
      </x:c>
      <x:c r="C286" s="16" t="n">
        <x:v>-10</x:v>
      </x:c>
      <x:c r="D286" s="36" t="n">
        <x:v>10.8805939653761</x:v>
      </x:c>
    </x:row>
    <x:row r="287">
      <x:c r="A287" s="16" t="n">
        <x:v>26</x:v>
      </x:c>
      <x:c r="B287" s="16" t="n">
        <x:v>38</x:v>
      </x:c>
      <x:c r="C287" s="16" t="n">
        <x:v>0</x:v>
      </x:c>
      <x:c r="D287" s="36" t="n">
        <x:v>12.9051654876682</x:v>
      </x:c>
    </x:row>
    <x:row r="288">
      <x:c r="A288" s="16" t="n">
        <x:v>26</x:v>
      </x:c>
      <x:c r="B288" s="16" t="n">
        <x:v>40</x:v>
      </x:c>
      <x:c r="C288" s="16" t="n">
        <x:v>-10</x:v>
      </x:c>
      <x:c r="D288" s="36" t="n">
        <x:v>11.4295499999012</x:v>
      </x:c>
    </x:row>
    <x:row r="289">
      <x:c r="A289" s="16" t="n">
        <x:v>26</x:v>
      </x:c>
      <x:c r="B289" s="16" t="n">
        <x:v>40</x:v>
      </x:c>
      <x:c r="C289" s="16" t="n">
        <x:v>0</x:v>
      </x:c>
      <x:c r="D289" s="36" t="n">
        <x:v>12.8793269123845</x:v>
      </x:c>
    </x:row>
    <x:row r="290">
      <x:c r="A290" s="16" t="n">
        <x:v>28</x:v>
      </x:c>
      <x:c r="B290" s="16" t="n">
        <x:v>10</x:v>
      </x:c>
      <x:c r="C290" s="16" t="n">
        <x:v>-10</x:v>
      </x:c>
      <x:c r="D290" s="36" t="n">
        <x:v>15.2134542640596</x:v>
      </x:c>
    </x:row>
    <x:row r="291">
      <x:c r="A291" s="16" t="n">
        <x:v>28</x:v>
      </x:c>
      <x:c r="B291" s="16" t="n">
        <x:v>10</x:v>
      </x:c>
      <x:c r="C291" s="16" t="n">
        <x:v>0</x:v>
      </x:c>
      <x:c r="D291" s="36" t="n">
        <x:v>2.1281060757413</x:v>
      </x:c>
    </x:row>
    <x:row r="292">
      <x:c r="A292" s="16" t="n">
        <x:v>28</x:v>
      </x:c>
      <x:c r="B292" s="16" t="n">
        <x:v>12</x:v>
      </x:c>
      <x:c r="C292" s="16" t="n">
        <x:v>-10</x:v>
      </x:c>
      <x:c r="D292" s="36" t="n">
        <x:v>14.193793608621</x:v>
      </x:c>
    </x:row>
    <x:row r="293">
      <x:c r="A293" s="16" t="n">
        <x:v>28</x:v>
      </x:c>
      <x:c r="B293" s="16" t="n">
        <x:v>12</x:v>
      </x:c>
      <x:c r="C293" s="16" t="n">
        <x:v>0</x:v>
      </x:c>
      <x:c r="D293" s="36" t="n">
        <x:v>4.99769379851417</x:v>
      </x:c>
    </x:row>
    <x:row r="294">
      <x:c r="A294" s="16" t="n">
        <x:v>28</x:v>
      </x:c>
      <x:c r="B294" s="16" t="n">
        <x:v>14</x:v>
      </x:c>
      <x:c r="C294" s="16" t="n">
        <x:v>-10</x:v>
      </x:c>
      <x:c r="D294" s="36" t="n">
        <x:v>12.9740674619028</x:v>
      </x:c>
    </x:row>
    <x:row r="295">
      <x:c r="A295" s="16" t="n">
        <x:v>28</x:v>
      </x:c>
      <x:c r="B295" s="16" t="n">
        <x:v>14</x:v>
      </x:c>
      <x:c r="C295" s="16" t="n">
        <x:v>0</x:v>
      </x:c>
      <x:c r="D295" s="36" t="n">
        <x:v>11.9878183372713</x:v>
      </x:c>
    </x:row>
    <x:row r="296">
      <x:c r="A296" s="16" t="n">
        <x:v>28</x:v>
      </x:c>
      <x:c r="B296" s="16" t="n">
        <x:v>16</x:v>
      </x:c>
      <x:c r="C296" s="16" t="n">
        <x:v>-10</x:v>
      </x:c>
      <x:c r="D296" s="36" t="n">
        <x:v>11.8259488492892</x:v>
      </x:c>
    </x:row>
    <x:row r="297">
      <x:c r="A297" s="16" t="n">
        <x:v>28</x:v>
      </x:c>
      <x:c r="B297" s="16" t="n">
        <x:v>16</x:v>
      </x:c>
      <x:c r="C297" s="16" t="n">
        <x:v>0</x:v>
      </x:c>
      <x:c r="D297" s="36" t="n">
        <x:v>14.6951592168971</x:v>
      </x:c>
    </x:row>
    <x:row r="298">
      <x:c r="A298" s="16" t="n">
        <x:v>28</x:v>
      </x:c>
      <x:c r="B298" s="16" t="n">
        <x:v>18</x:v>
      </x:c>
      <x:c r="C298" s="16" t="n">
        <x:v>-10</x:v>
      </x:c>
      <x:c r="D298" s="36" t="n">
        <x:v>10.4655057848174</x:v>
      </x:c>
    </x:row>
    <x:row r="299">
      <x:c r="A299" s="16" t="n">
        <x:v>28</x:v>
      </x:c>
      <x:c r="B299" s="16" t="n">
        <x:v>18</x:v>
      </x:c>
      <x:c r="C299" s="16" t="n">
        <x:v>0</x:v>
      </x:c>
      <x:c r="D299" s="36" t="n">
        <x:v>14.2329751513364</x:v>
      </x:c>
    </x:row>
    <x:row r="300">
      <x:c r="A300" s="16" t="n">
        <x:v>28</x:v>
      </x:c>
      <x:c r="B300" s="16" t="n">
        <x:v>20</x:v>
      </x:c>
      <x:c r="C300" s="16" t="n">
        <x:v>-10</x:v>
      </x:c>
      <x:c r="D300" s="36" t="n">
        <x:v>8.91205569311597</x:v>
      </x:c>
    </x:row>
    <x:row r="301">
      <x:c r="A301" s="16" t="n">
        <x:v>28</x:v>
      </x:c>
      <x:c r="B301" s="16" t="n">
        <x:v>20</x:v>
      </x:c>
      <x:c r="C301" s="16" t="n">
        <x:v>0</x:v>
      </x:c>
      <x:c r="D301" s="36" t="n">
        <x:v>13.7186904708624</x:v>
      </x:c>
    </x:row>
    <x:row r="302">
      <x:c r="A302" s="16" t="n">
        <x:v>28</x:v>
      </x:c>
      <x:c r="B302" s="16" t="n">
        <x:v>22</x:v>
      </x:c>
      <x:c r="C302" s="16" t="n">
        <x:v>-10</x:v>
      </x:c>
      <x:c r="D302" s="36" t="n">
        <x:v>7.74386225906676</x:v>
      </x:c>
    </x:row>
    <x:row r="303">
      <x:c r="A303" s="16" t="n">
        <x:v>28</x:v>
      </x:c>
      <x:c r="B303" s="16" t="n">
        <x:v>22</x:v>
      </x:c>
      <x:c r="C303" s="16" t="n">
        <x:v>0</x:v>
      </x:c>
      <x:c r="D303" s="36" t="n">
        <x:v>13.4521822693697</x:v>
      </x:c>
    </x:row>
    <x:row r="304">
      <x:c r="A304" s="16" t="n">
        <x:v>28</x:v>
      </x:c>
      <x:c r="B304" s="16" t="n">
        <x:v>24</x:v>
      </x:c>
      <x:c r="C304" s="16" t="n">
        <x:v>-10</x:v>
      </x:c>
      <x:c r="D304" s="36" t="n">
        <x:v>11.3465570663987</x:v>
      </x:c>
    </x:row>
    <x:row r="305">
      <x:c r="A305" s="16" t="n">
        <x:v>28</x:v>
      </x:c>
      <x:c r="B305" s="16" t="n">
        <x:v>24</x:v>
      </x:c>
      <x:c r="C305" s="16" t="n">
        <x:v>0</x:v>
      </x:c>
      <x:c r="D305" s="36" t="n">
        <x:v>13.1621664406988</x:v>
      </x:c>
    </x:row>
    <x:row r="306">
      <x:c r="A306" s="16" t="n">
        <x:v>28</x:v>
      </x:c>
      <x:c r="B306" s="16" t="n">
        <x:v>26</x:v>
      </x:c>
      <x:c r="C306" s="16" t="n">
        <x:v>-10</x:v>
      </x:c>
      <x:c r="D306" s="36" t="n">
        <x:v>12.6373640601589</x:v>
      </x:c>
    </x:row>
    <x:row r="307">
      <x:c r="A307" s="16" t="n">
        <x:v>28</x:v>
      </x:c>
      <x:c r="B307" s="16" t="n">
        <x:v>26</x:v>
      </x:c>
      <x:c r="C307" s="16" t="n">
        <x:v>0</x:v>
      </x:c>
      <x:c r="D307" s="36" t="n">
        <x:v>12.9677253696184</x:v>
      </x:c>
    </x:row>
    <x:row r="308">
      <x:c r="A308" s="16" t="n">
        <x:v>28</x:v>
      </x:c>
      <x:c r="B308" s="16" t="n">
        <x:v>28</x:v>
      </x:c>
      <x:c r="C308" s="16" t="n">
        <x:v>-10</x:v>
      </x:c>
      <x:c r="D308" s="36" t="n">
        <x:v>11.8322161717344</x:v>
      </x:c>
    </x:row>
    <x:row r="309">
      <x:c r="A309" s="16" t="n">
        <x:v>28</x:v>
      </x:c>
      <x:c r="B309" s="16" t="n">
        <x:v>28</x:v>
      </x:c>
      <x:c r="C309" s="16" t="n">
        <x:v>0</x:v>
      </x:c>
      <x:c r="D309" s="36" t="n">
        <x:v>12.8668580561965</x:v>
      </x:c>
    </x:row>
    <x:row r="310">
      <x:c r="A310" s="16" t="n">
        <x:v>28</x:v>
      </x:c>
      <x:c r="B310" s="16" t="n">
        <x:v>30</x:v>
      </x:c>
      <x:c r="C310" s="16" t="n">
        <x:v>-10</x:v>
      </x:c>
      <x:c r="D310" s="36" t="n">
        <x:v>11.2806748259367</x:v>
      </x:c>
    </x:row>
    <x:row r="311">
      <x:c r="A311" s="16" t="n">
        <x:v>28</x:v>
      </x:c>
      <x:c r="B311" s="16" t="n">
        <x:v>30</x:v>
      </x:c>
      <x:c r="C311" s="16" t="n">
        <x:v>0</x:v>
      </x:c>
      <x:c r="D311" s="36" t="n">
        <x:v>12.7811479563794</x:v>
      </x:c>
    </x:row>
    <x:row r="312">
      <x:c r="A312" s="16" t="n">
        <x:v>28</x:v>
      </x:c>
      <x:c r="B312" s="16" t="n">
        <x:v>32</x:v>
      </x:c>
      <x:c r="C312" s="16" t="n">
        <x:v>-10</x:v>
      </x:c>
      <x:c r="D312" s="36" t="n">
        <x:v>11.0044677553044</x:v>
      </x:c>
    </x:row>
    <x:row r="313">
      <x:c r="A313" s="16" t="n">
        <x:v>28</x:v>
      </x:c>
      <x:c r="B313" s="16" t="n">
        <x:v>32</x:v>
      </x:c>
      <x:c r="C313" s="16" t="n">
        <x:v>0</x:v>
      </x:c>
      <x:c r="D313" s="36" t="n">
        <x:v>12.7264234527828</x:v>
      </x:c>
    </x:row>
    <x:row r="314">
      <x:c r="A314" s="16" t="n">
        <x:v>28</x:v>
      </x:c>
      <x:c r="B314" s="16" t="n">
        <x:v>34</x:v>
      </x:c>
      <x:c r="C314" s="16" t="n">
        <x:v>-10</x:v>
      </x:c>
      <x:c r="D314" s="36" t="n">
        <x:v>11.0012292810282</x:v>
      </x:c>
    </x:row>
    <x:row r="315">
      <x:c r="A315" s="16" t="n">
        <x:v>28</x:v>
      </x:c>
      <x:c r="B315" s="16" t="n">
        <x:v>34</x:v>
      </x:c>
      <x:c r="C315" s="16" t="n">
        <x:v>0</x:v>
      </x:c>
      <x:c r="D315" s="36" t="n">
        <x:v>12.7606323069475</x:v>
      </x:c>
    </x:row>
    <x:row r="316">
      <x:c r="A316" s="16" t="n">
        <x:v>28</x:v>
      </x:c>
      <x:c r="B316" s="16" t="n">
        <x:v>36</x:v>
      </x:c>
      <x:c r="C316" s="16" t="n">
        <x:v>-10</x:v>
      </x:c>
      <x:c r="D316" s="36" t="n">
        <x:v>11.4878889436091</x:v>
      </x:c>
    </x:row>
    <x:row r="317">
      <x:c r="A317" s="16" t="n">
        <x:v>28</x:v>
      </x:c>
      <x:c r="B317" s="16" t="n">
        <x:v>36</x:v>
      </x:c>
      <x:c r="C317" s="16" t="n">
        <x:v>0</x:v>
      </x:c>
      <x:c r="D317" s="36" t="n">
        <x:v>12.8386561080899</x:v>
      </x:c>
    </x:row>
    <x:row r="318">
      <x:c r="A318" s="16" t="n">
        <x:v>28</x:v>
      </x:c>
      <x:c r="B318" s="16" t="n">
        <x:v>38</x:v>
      </x:c>
      <x:c r="C318" s="16" t="n">
        <x:v>-10</x:v>
      </x:c>
      <x:c r="D318" s="36" t="n">
        <x:v>12.214321377943</x:v>
      </x:c>
    </x:row>
    <x:row r="319">
      <x:c r="A319" s="16" t="n">
        <x:v>28</x:v>
      </x:c>
      <x:c r="B319" s="16" t="n">
        <x:v>38</x:v>
      </x:c>
      <x:c r="C319" s="16" t="n">
        <x:v>0</x:v>
      </x:c>
      <x:c r="D319" s="36" t="n">
        <x:v>12.7548378980422</x:v>
      </x:c>
    </x:row>
    <x:row r="320">
      <x:c r="A320" s="16" t="n">
        <x:v>28</x:v>
      </x:c>
      <x:c r="B320" s="16" t="n">
        <x:v>40</x:v>
      </x:c>
      <x:c r="C320" s="16" t="n">
        <x:v>-10</x:v>
      </x:c>
      <x:c r="D320" s="36" t="n">
        <x:v>12.9155894261058</x:v>
      </x:c>
    </x:row>
    <x:row r="321">
      <x:c r="A321" s="16" t="n">
        <x:v>28</x:v>
      </x:c>
      <x:c r="B321" s="16" t="n">
        <x:v>40</x:v>
      </x:c>
      <x:c r="C321" s="16" t="n">
        <x:v>0</x:v>
      </x:c>
      <x:c r="D321" s="36" t="n">
        <x:v>12.8466893523199</x:v>
      </x:c>
    </x:row>
    <x:row r="322">
      <x:c r="A322" s="16" t="n">
        <x:v>30</x:v>
      </x:c>
      <x:c r="B322" s="16" t="n">
        <x:v>10</x:v>
      </x:c>
      <x:c r="C322" s="16" t="n">
        <x:v>-10</x:v>
      </x:c>
      <x:c r="D322" s="36" t="n">
        <x:v>15.0975542298815</x:v>
      </x:c>
    </x:row>
    <x:row r="323">
      <x:c r="A323" s="16" t="n">
        <x:v>30</x:v>
      </x:c>
      <x:c r="B323" s="16" t="n">
        <x:v>10</x:v>
      </x:c>
      <x:c r="C323" s="16" t="n">
        <x:v>0</x:v>
      </x:c>
      <x:c r="D323" s="36" t="n">
        <x:v>1.43448990088812</x:v>
      </x:c>
    </x:row>
    <x:row r="324">
      <x:c r="A324" s="16" t="n">
        <x:v>30</x:v>
      </x:c>
      <x:c r="B324" s="16" t="n">
        <x:v>12</x:v>
      </x:c>
      <x:c r="C324" s="16" t="n">
        <x:v>-10</x:v>
      </x:c>
      <x:c r="D324" s="36" t="n">
        <x:v>14.2820550693532</x:v>
      </x:c>
    </x:row>
    <x:row r="325">
      <x:c r="A325" s="16" t="n">
        <x:v>30</x:v>
      </x:c>
      <x:c r="B325" s="16" t="n">
        <x:v>12</x:v>
      </x:c>
      <x:c r="C325" s="16" t="n">
        <x:v>0</x:v>
      </x:c>
      <x:c r="D325" s="36" t="n">
        <x:v>3.19131067966167</x:v>
      </x:c>
    </x:row>
    <x:row r="326">
      <x:c r="A326" s="16" t="n">
        <x:v>30</x:v>
      </x:c>
      <x:c r="B326" s="16" t="n">
        <x:v>14</x:v>
      </x:c>
      <x:c r="C326" s="16" t="n">
        <x:v>-10</x:v>
      </x:c>
      <x:c r="D326" s="36" t="n">
        <x:v>13.392148480567</x:v>
      </x:c>
    </x:row>
    <x:row r="327">
      <x:c r="A327" s="16" t="n">
        <x:v>30</x:v>
      </x:c>
      <x:c r="B327" s="16" t="n">
        <x:v>14</x:v>
      </x:c>
      <x:c r="C327" s="16" t="n">
        <x:v>0</x:v>
      </x:c>
      <x:c r="D327" s="36" t="n">
        <x:v>8.1343961122563</x:v>
      </x:c>
    </x:row>
    <x:row r="328">
      <x:c r="A328" s="16" t="n">
        <x:v>30</x:v>
      </x:c>
      <x:c r="B328" s="16" t="n">
        <x:v>16</x:v>
      </x:c>
      <x:c r="C328" s="16" t="n">
        <x:v>-10</x:v>
      </x:c>
      <x:c r="D328" s="36" t="n">
        <x:v>12.4818698657444</x:v>
      </x:c>
    </x:row>
    <x:row r="329">
      <x:c r="A329" s="16" t="n">
        <x:v>30</x:v>
      </x:c>
      <x:c r="B329" s="16" t="n">
        <x:v>16</x:v>
      </x:c>
      <x:c r="C329" s="16" t="n">
        <x:v>0</x:v>
      </x:c>
      <x:c r="D329" s="36" t="n">
        <x:v>14.2857494963902</x:v>
      </x:c>
    </x:row>
    <x:row r="330">
      <x:c r="A330" s="16" t="n">
        <x:v>30</x:v>
      </x:c>
      <x:c r="B330" s="16" t="n">
        <x:v>18</x:v>
      </x:c>
      <x:c r="C330" s="16" t="n">
        <x:v>-10</x:v>
      </x:c>
      <x:c r="D330" s="36" t="n">
        <x:v>11.3803922290318</x:v>
      </x:c>
    </x:row>
    <x:row r="331">
      <x:c r="A331" s="16" t="n">
        <x:v>30</x:v>
      </x:c>
      <x:c r="B331" s="16" t="n">
        <x:v>18</x:v>
      </x:c>
      <x:c r="C331" s="16" t="n">
        <x:v>0</x:v>
      </x:c>
      <x:c r="D331" s="36" t="n">
        <x:v>14.5262643936693</x:v>
      </x:c>
    </x:row>
    <x:row r="332">
      <x:c r="A332" s="16" t="n">
        <x:v>30</x:v>
      </x:c>
      <x:c r="B332" s="16" t="n">
        <x:v>20</x:v>
      </x:c>
      <x:c r="C332" s="16" t="n">
        <x:v>-10</x:v>
      </x:c>
      <x:c r="D332" s="36" t="n">
        <x:v>10.0801740930551</x:v>
      </x:c>
    </x:row>
    <x:row r="333">
      <x:c r="A333" s="16" t="n">
        <x:v>30</x:v>
      </x:c>
      <x:c r="B333" s="16" t="n">
        <x:v>20</x:v>
      </x:c>
      <x:c r="C333" s="16" t="n">
        <x:v>0</x:v>
      </x:c>
      <x:c r="D333" s="36" t="n">
        <x:v>13.9519146526814</x:v>
      </x:c>
    </x:row>
    <x:row r="334">
      <x:c r="A334" s="16" t="n">
        <x:v>30</x:v>
      </x:c>
      <x:c r="B334" s="16" t="n">
        <x:v>22</x:v>
      </x:c>
      <x:c r="C334" s="16" t="n">
        <x:v>-10</x:v>
      </x:c>
      <x:c r="D334" s="36" t="n">
        <x:v>8.90392478079326</x:v>
      </x:c>
    </x:row>
    <x:row r="335">
      <x:c r="A335" s="16" t="n">
        <x:v>30</x:v>
      </x:c>
      <x:c r="B335" s="16" t="n">
        <x:v>22</x:v>
      </x:c>
      <x:c r="C335" s="16" t="n">
        <x:v>0</x:v>
      </x:c>
      <x:c r="D335" s="36" t="n">
        <x:v>13.465199704044</x:v>
      </x:c>
    </x:row>
    <x:row r="336">
      <x:c r="A336" s="16" t="n">
        <x:v>30</x:v>
      </x:c>
      <x:c r="B336" s="16" t="n">
        <x:v>24</x:v>
      </x:c>
      <x:c r="C336" s="16" t="n">
        <x:v>-10</x:v>
      </x:c>
      <x:c r="D336" s="36" t="n">
        <x:v>9.8711964713774</x:v>
      </x:c>
    </x:row>
    <x:row r="337">
      <x:c r="A337" s="16" t="n">
        <x:v>30</x:v>
      </x:c>
      <x:c r="B337" s="16" t="n">
        <x:v>24</x:v>
      </x:c>
      <x:c r="C337" s="16" t="n">
        <x:v>0</x:v>
      </x:c>
      <x:c r="D337" s="36" t="n">
        <x:v>13.1752494425631</x:v>
      </x:c>
    </x:row>
    <x:row r="338">
      <x:c r="A338" s="16" t="n">
        <x:v>30</x:v>
      </x:c>
      <x:c r="B338" s="16" t="n">
        <x:v>26</x:v>
      </x:c>
      <x:c r="C338" s="16" t="n">
        <x:v>-10</x:v>
      </x:c>
      <x:c r="D338" s="36" t="n">
        <x:v>14.0965657181514</x:v>
      </x:c>
    </x:row>
    <x:row r="339">
      <x:c r="A339" s="16" t="n">
        <x:v>30</x:v>
      </x:c>
      <x:c r="B339" s="16" t="n">
        <x:v>26</x:v>
      </x:c>
      <x:c r="C339" s="16" t="n">
        <x:v>0</x:v>
      </x:c>
      <x:c r="D339" s="36" t="n">
        <x:v>12.9932139834697</x:v>
      </x:c>
    </x:row>
    <x:row r="340">
      <x:c r="A340" s="16" t="n">
        <x:v>30</x:v>
      </x:c>
      <x:c r="B340" s="16" t="n">
        <x:v>28</x:v>
      </x:c>
      <x:c r="C340" s="16" t="n">
        <x:v>-10</x:v>
      </x:c>
      <x:c r="D340" s="36" t="n">
        <x:v>13.5411047006143</x:v>
      </x:c>
    </x:row>
    <x:row r="341">
      <x:c r="A341" s="16" t="n">
        <x:v>30</x:v>
      </x:c>
      <x:c r="B341" s="16" t="n">
        <x:v>28</x:v>
      </x:c>
      <x:c r="C341" s="16" t="n">
        <x:v>0</x:v>
      </x:c>
      <x:c r="D341" s="36" t="n">
        <x:v>12.8434320216196</x:v>
      </x:c>
    </x:row>
    <x:row r="342">
      <x:c r="A342" s="16" t="n">
        <x:v>30</x:v>
      </x:c>
      <x:c r="B342" s="16" t="n">
        <x:v>30</x:v>
      </x:c>
      <x:c r="C342" s="16" t="n">
        <x:v>-10</x:v>
      </x:c>
      <x:c r="D342" s="36" t="n">
        <x:v>12.7388601023855</x:v>
      </x:c>
    </x:row>
    <x:row r="343">
      <x:c r="A343" s="16" t="n">
        <x:v>30</x:v>
      </x:c>
      <x:c r="B343" s="16" t="n">
        <x:v>30</x:v>
      </x:c>
      <x:c r="C343" s="16" t="n">
        <x:v>0</x:v>
      </x:c>
      <x:c r="D343" s="36" t="n">
        <x:v>12.8575609954141</x:v>
      </x:c>
    </x:row>
    <x:row r="344">
      <x:c r="A344" s="16" t="n">
        <x:v>30</x:v>
      </x:c>
      <x:c r="B344" s="16" t="n">
        <x:v>32</x:v>
      </x:c>
      <x:c r="C344" s="16" t="n">
        <x:v>-10</x:v>
      </x:c>
      <x:c r="D344" s="36" t="n">
        <x:v>12.2402508357658</x:v>
      </x:c>
    </x:row>
    <x:row r="345">
      <x:c r="A345" s="16" t="n">
        <x:v>30</x:v>
      </x:c>
      <x:c r="B345" s="16" t="n">
        <x:v>32</x:v>
      </x:c>
      <x:c r="C345" s="16" t="n">
        <x:v>0</x:v>
      </x:c>
      <x:c r="D345" s="36" t="n">
        <x:v>12.7837714902321</x:v>
      </x:c>
    </x:row>
    <x:row r="346">
      <x:c r="A346" s="16" t="n">
        <x:v>30</x:v>
      </x:c>
      <x:c r="B346" s="16" t="n">
        <x:v>34</x:v>
      </x:c>
      <x:c r="C346" s="16" t="n">
        <x:v>-10</x:v>
      </x:c>
      <x:c r="D346" s="36" t="n">
        <x:v>12.050771307165</x:v>
      </x:c>
    </x:row>
    <x:row r="347">
      <x:c r="A347" s="16" t="n">
        <x:v>30</x:v>
      </x:c>
      <x:c r="B347" s="16" t="n">
        <x:v>34</x:v>
      </x:c>
      <x:c r="C347" s="16" t="n">
        <x:v>0</x:v>
      </x:c>
      <x:c r="D347" s="36" t="n">
        <x:v>12.7844909368309</x:v>
      </x:c>
    </x:row>
    <x:row r="348">
      <x:c r="A348" s="16" t="n">
        <x:v>30</x:v>
      </x:c>
      <x:c r="B348" s="16" t="n">
        <x:v>36</x:v>
      </x:c>
      <x:c r="C348" s="16" t="n">
        <x:v>-10</x:v>
      </x:c>
      <x:c r="D348" s="36" t="n">
        <x:v>12.1873530555271</x:v>
      </x:c>
    </x:row>
    <x:row r="349">
      <x:c r="A349" s="16" t="n">
        <x:v>30</x:v>
      </x:c>
      <x:c r="B349" s="16" t="n">
        <x:v>36</x:v>
      </x:c>
      <x:c r="C349" s="16" t="n">
        <x:v>0</x:v>
      </x:c>
      <x:c r="D349" s="36" t="n">
        <x:v>12.6902895888877</x:v>
      </x:c>
    </x:row>
    <x:row r="350">
      <x:c r="A350" s="16" t="n">
        <x:v>30</x:v>
      </x:c>
      <x:c r="B350" s="16" t="n">
        <x:v>38</x:v>
      </x:c>
      <x:c r="C350" s="16" t="n">
        <x:v>-10</x:v>
      </x:c>
      <x:c r="D350" s="36" t="n">
        <x:v>12.9439167012123</x:v>
      </x:c>
    </x:row>
    <x:row r="351">
      <x:c r="A351" s="16" t="n">
        <x:v>30</x:v>
      </x:c>
      <x:c r="B351" s="16" t="n">
        <x:v>38</x:v>
      </x:c>
      <x:c r="C351" s="16" t="n">
        <x:v>0</x:v>
      </x:c>
      <x:c r="D351" s="36" t="n">
        <x:v>12.6768439787728</x:v>
      </x:c>
    </x:row>
    <x:row r="352">
      <x:c r="A352" s="16" t="n">
        <x:v>30</x:v>
      </x:c>
      <x:c r="B352" s="16" t="n">
        <x:v>40</x:v>
      </x:c>
      <x:c r="C352" s="16" t="n">
        <x:v>-10</x:v>
      </x:c>
      <x:c r="D352" s="36" t="n">
        <x:v>13.6970441066534</x:v>
      </x:c>
    </x:row>
    <x:row r="353">
      <x:c r="A353" s="16" t="n">
        <x:v>30</x:v>
      </x:c>
      <x:c r="B353" s="16" t="n">
        <x:v>40</x:v>
      </x:c>
      <x:c r="C353" s="16" t="n">
        <x:v>0</x:v>
      </x:c>
      <x:c r="D353" s="36" t="n">
        <x:v>12.7104050538465</x:v>
      </x:c>
    </x:row>
    <x:row r="354">
      <x:c r="A354" s="16" t="n">
        <x:v>32</x:v>
      </x:c>
      <x:c r="B354" s="16" t="n">
        <x:v>10</x:v>
      </x:c>
      <x:c r="C354" s="16" t="n">
        <x:v>-10</x:v>
      </x:c>
      <x:c r="D354" s="36" t="n">
        <x:v>14.4830959990911</x:v>
      </x:c>
    </x:row>
    <x:row r="355">
      <x:c r="A355" s="16" t="n">
        <x:v>32</x:v>
      </x:c>
      <x:c r="B355" s="16" t="n">
        <x:v>10</x:v>
      </x:c>
      <x:c r="C355" s="16" t="n">
        <x:v>0</x:v>
      </x:c>
      <x:c r="D355" s="36" t="n">
        <x:v>1.03342982927978</x:v>
      </x:c>
    </x:row>
    <x:row r="356">
      <x:c r="A356" s="16" t="n">
        <x:v>32</x:v>
      </x:c>
      <x:c r="B356" s="16" t="n">
        <x:v>12</x:v>
      </x:c>
      <x:c r="C356" s="16" t="n">
        <x:v>-10</x:v>
      </x:c>
      <x:c r="D356" s="36" t="n">
        <x:v>13.9000456503678</x:v>
      </x:c>
    </x:row>
    <x:row r="357">
      <x:c r="A357" s="16" t="n">
        <x:v>32</x:v>
      </x:c>
      <x:c r="B357" s="16" t="n">
        <x:v>12</x:v>
      </x:c>
      <x:c r="C357" s="16" t="n">
        <x:v>0</x:v>
      </x:c>
      <x:c r="D357" s="36" t="n">
        <x:v>2.0963838460115</x:v>
      </x:c>
    </x:row>
    <x:row r="358">
      <x:c r="A358" s="16" t="n">
        <x:v>32</x:v>
      </x:c>
      <x:c r="B358" s="16" t="n">
        <x:v>14</x:v>
      </x:c>
      <x:c r="C358" s="16" t="n">
        <x:v>-10</x:v>
      </x:c>
      <x:c r="D358" s="36" t="n">
        <x:v>13.3131189750745</x:v>
      </x:c>
    </x:row>
    <x:row r="359">
      <x:c r="A359" s="16" t="n">
        <x:v>32</x:v>
      </x:c>
      <x:c r="B359" s="16" t="n">
        <x:v>14</x:v>
      </x:c>
      <x:c r="C359" s="16" t="n">
        <x:v>0</x:v>
      </x:c>
      <x:c r="D359" s="36" t="n">
        <x:v>5.03953448110773</x:v>
      </x:c>
    </x:row>
    <x:row r="360">
      <x:c r="A360" s="16" t="n">
        <x:v>32</x:v>
      </x:c>
      <x:c r="B360" s="16" t="n">
        <x:v>16</x:v>
      </x:c>
      <x:c r="C360" s="16" t="n">
        <x:v>-10</x:v>
      </x:c>
      <x:c r="D360" s="36" t="n">
        <x:v>12.5814120437091</x:v>
      </x:c>
    </x:row>
    <x:row r="361">
      <x:c r="A361" s="16" t="n">
        <x:v>32</x:v>
      </x:c>
      <x:c r="B361" s="16" t="n">
        <x:v>16</x:v>
      </x:c>
      <x:c r="C361" s="16" t="n">
        <x:v>0</x:v>
      </x:c>
      <x:c r="D361" s="36" t="n">
        <x:v>11.8592324734182</x:v>
      </x:c>
    </x:row>
    <x:row r="362">
      <x:c r="A362" s="16" t="n">
        <x:v>32</x:v>
      </x:c>
      <x:c r="B362" s="16" t="n">
        <x:v>18</x:v>
      </x:c>
      <x:c r="C362" s="16" t="n">
        <x:v>-10</x:v>
      </x:c>
      <x:c r="D362" s="36" t="n">
        <x:v>11.7004239784932</x:v>
      </x:c>
    </x:row>
    <x:row r="363">
      <x:c r="A363" s="16" t="n">
        <x:v>32</x:v>
      </x:c>
      <x:c r="B363" s="16" t="n">
        <x:v>18</x:v>
      </x:c>
      <x:c r="C363" s="16" t="n">
        <x:v>0</x:v>
      </x:c>
      <x:c r="D363" s="36" t="n">
        <x:v>14.6265398326089</x:v>
      </x:c>
    </x:row>
    <x:row r="364">
      <x:c r="A364" s="16" t="n">
        <x:v>32</x:v>
      </x:c>
      <x:c r="B364" s="16" t="n">
        <x:v>20</x:v>
      </x:c>
      <x:c r="C364" s="16" t="n">
        <x:v>-10</x:v>
      </x:c>
      <x:c r="D364" s="36" t="n">
        <x:v>10.6606111717722</x:v>
      </x:c>
    </x:row>
    <x:row r="365">
      <x:c r="A365" s="16" t="n">
        <x:v>32</x:v>
      </x:c>
      <x:c r="B365" s="16" t="n">
        <x:v>20</x:v>
      </x:c>
      <x:c r="C365" s="16" t="n">
        <x:v>0</x:v>
      </x:c>
      <x:c r="D365" s="36" t="n">
        <x:v>14.1887934345253</x:v>
      </x:c>
    </x:row>
    <x:row r="366">
      <x:c r="A366" s="16" t="n">
        <x:v>32</x:v>
      </x:c>
      <x:c r="B366" s="16" t="n">
        <x:v>22</x:v>
      </x:c>
      <x:c r="C366" s="16" t="n">
        <x:v>-10</x:v>
      </x:c>
      <x:c r="D366" s="36" t="n">
        <x:v>9.62400934302486</x:v>
      </x:c>
    </x:row>
    <x:row r="367">
      <x:c r="A367" s="16" t="n">
        <x:v>32</x:v>
      </x:c>
      <x:c r="B367" s="16" t="n">
        <x:v>22</x:v>
      </x:c>
      <x:c r="C367" s="16" t="n">
        <x:v>0</x:v>
      </x:c>
      <x:c r="D367" s="36" t="n">
        <x:v>13.577860509906</x:v>
      </x:c>
    </x:row>
    <x:row r="368">
      <x:c r="A368" s="16" t="n">
        <x:v>32</x:v>
      </x:c>
      <x:c r="B368" s="16" t="n">
        <x:v>24</x:v>
      </x:c>
      <x:c r="C368" s="16" t="n">
        <x:v>-10</x:v>
      </x:c>
      <x:c r="D368" s="36" t="n">
        <x:v>9.21870282150186</x:v>
      </x:c>
    </x:row>
    <x:row r="369">
      <x:c r="A369" s="16" t="n">
        <x:v>32</x:v>
      </x:c>
      <x:c r="B369" s="16" t="n">
        <x:v>24</x:v>
      </x:c>
      <x:c r="C369" s="16" t="n">
        <x:v>0</x:v>
      </x:c>
      <x:c r="D369" s="36" t="n">
        <x:v>13.2157209710125</x:v>
      </x:c>
    </x:row>
    <x:row r="370">
      <x:c r="A370" s="16" t="n">
        <x:v>32</x:v>
      </x:c>
      <x:c r="B370" s="16" t="n">
        <x:v>26</x:v>
      </x:c>
      <x:c r="C370" s="16" t="n">
        <x:v>-10</x:v>
      </x:c>
      <x:c r="D370" s="36" t="n">
        <x:v>13.3518661524824</x:v>
      </x:c>
    </x:row>
    <x:row r="371">
      <x:c r="A371" s="16" t="n">
        <x:v>32</x:v>
      </x:c>
      <x:c r="B371" s="16" t="n">
        <x:v>26</x:v>
      </x:c>
      <x:c r="C371" s="16" t="n">
        <x:v>0</x:v>
      </x:c>
      <x:c r="D371" s="36" t="n">
        <x:v>12.9446150708235</x:v>
      </x:c>
    </x:row>
    <x:row r="372">
      <x:c r="A372" s="16" t="n">
        <x:v>32</x:v>
      </x:c>
      <x:c r="B372" s="16" t="n">
        <x:v>28</x:v>
      </x:c>
      <x:c r="C372" s="16" t="n">
        <x:v>-10</x:v>
      </x:c>
      <x:c r="D372" s="36" t="n">
        <x:v>14.7370034708427</x:v>
      </x:c>
    </x:row>
    <x:row r="373">
      <x:c r="A373" s="16" t="n">
        <x:v>32</x:v>
      </x:c>
      <x:c r="B373" s="16" t="n">
        <x:v>28</x:v>
      </x:c>
      <x:c r="C373" s="16" t="n">
        <x:v>0</x:v>
      </x:c>
      <x:c r="D373" s="36" t="n">
        <x:v>12.8572088272041</x:v>
      </x:c>
    </x:row>
    <x:row r="374">
      <x:c r="A374" s="16" t="n">
        <x:v>32</x:v>
      </x:c>
      <x:c r="B374" s="16" t="n">
        <x:v>30</x:v>
      </x:c>
      <x:c r="C374" s="16" t="n">
        <x:v>-10</x:v>
      </x:c>
      <x:c r="D374" s="36" t="n">
        <x:v>13.8558068115451</x:v>
      </x:c>
    </x:row>
    <x:row r="375">
      <x:c r="A375" s="16" t="n">
        <x:v>32</x:v>
      </x:c>
      <x:c r="B375" s="16" t="n">
        <x:v>30</x:v>
      </x:c>
      <x:c r="C375" s="16" t="n">
        <x:v>0</x:v>
      </x:c>
      <x:c r="D375" s="36" t="n">
        <x:v>12.7027100170692</x:v>
      </x:c>
    </x:row>
    <x:row r="376">
      <x:c r="A376" s="16" t="n">
        <x:v>32</x:v>
      </x:c>
      <x:c r="B376" s="16" t="n">
        <x:v>32</x:v>
      </x:c>
      <x:c r="C376" s="16" t="n">
        <x:v>-10</x:v>
      </x:c>
      <x:c r="D376" s="36" t="n">
        <x:v>13.1658229902109</x:v>
      </x:c>
    </x:row>
    <x:row r="377">
      <x:c r="A377" s="16" t="n">
        <x:v>32</x:v>
      </x:c>
      <x:c r="B377" s="16" t="n">
        <x:v>32</x:v>
      </x:c>
      <x:c r="C377" s="16" t="n">
        <x:v>0</x:v>
      </x:c>
      <x:c r="D377" s="36" t="n">
        <x:v>12.6781586596812</x:v>
      </x:c>
    </x:row>
    <x:row r="378">
      <x:c r="A378" s="16" t="n">
        <x:v>32</x:v>
      </x:c>
      <x:c r="B378" s="16" t="n">
        <x:v>34</x:v>
      </x:c>
      <x:c r="C378" s="16" t="n">
        <x:v>-10</x:v>
      </x:c>
      <x:c r="D378" s="36" t="n">
        <x:v>12.8489021105857</x:v>
      </x:c>
    </x:row>
    <x:row r="379">
      <x:c r="A379" s="16" t="n">
        <x:v>32</x:v>
      </x:c>
      <x:c r="B379" s="16" t="n">
        <x:v>34</x:v>
      </x:c>
      <x:c r="C379" s="16" t="n">
        <x:v>0</x:v>
      </x:c>
      <x:c r="D379" s="36" t="n">
        <x:v>12.6628136471357</x:v>
      </x:c>
    </x:row>
    <x:row r="380">
      <x:c r="A380" s="16" t="n">
        <x:v>32</x:v>
      </x:c>
      <x:c r="B380" s="16" t="n">
        <x:v>36</x:v>
      </x:c>
      <x:c r="C380" s="16" t="n">
        <x:v>-10</x:v>
      </x:c>
      <x:c r="D380" s="36" t="n">
        <x:v>12.7289733348101</x:v>
      </x:c>
    </x:row>
    <x:row r="381">
      <x:c r="A381" s="16" t="n">
        <x:v>32</x:v>
      </x:c>
      <x:c r="B381" s="16" t="n">
        <x:v>36</x:v>
      </x:c>
      <x:c r="C381" s="16" t="n">
        <x:v>0</x:v>
      </x:c>
      <x:c r="D381" s="36" t="n">
        <x:v>12.6239078571245</x:v>
      </x:c>
    </x:row>
    <x:row r="382">
      <x:c r="A382" s="16" t="n">
        <x:v>32</x:v>
      </x:c>
      <x:c r="B382" s="16" t="n">
        <x:v>38</x:v>
      </x:c>
      <x:c r="C382" s="16" t="n">
        <x:v>-10</x:v>
      </x:c>
      <x:c r="D382" s="36" t="n">
        <x:v>13.0864020239204</x:v>
      </x:c>
    </x:row>
    <x:row r="383">
      <x:c r="A383" s="16" t="n">
        <x:v>32</x:v>
      </x:c>
      <x:c r="B383" s="16" t="n">
        <x:v>38</x:v>
      </x:c>
      <x:c r="C383" s="16" t="n">
        <x:v>0</x:v>
      </x:c>
      <x:c r="D383" s="36" t="n">
        <x:v>12.6543668048995</x:v>
      </x:c>
    </x:row>
    <x:row r="384">
      <x:c r="A384" s="16" t="n">
        <x:v>32</x:v>
      </x:c>
      <x:c r="B384" s="16" t="n">
        <x:v>40</x:v>
      </x:c>
      <x:c r="C384" s="16" t="n">
        <x:v>-10</x:v>
      </x:c>
      <x:c r="D384" s="36" t="n">
        <x:v>13.9594255373475</x:v>
      </x:c>
    </x:row>
    <x:row r="385">
      <x:c r="A385" s="16" t="n">
        <x:v>32</x:v>
      </x:c>
      <x:c r="B385" s="16" t="n">
        <x:v>40</x:v>
      </x:c>
      <x:c r="C385" s="16" t="n">
        <x:v>0</x:v>
      </x:c>
      <x:c r="D385" s="36" t="n">
        <x:v>12.7074725446523</x:v>
      </x:c>
    </x:row>
    <x:row r="386">
      <x:c r="A386" s="16" t="n">
        <x:v>34</x:v>
      </x:c>
      <x:c r="B386" s="16" t="n">
        <x:v>10</x:v>
      </x:c>
      <x:c r="C386" s="16" t="n">
        <x:v>-10</x:v>
      </x:c>
      <x:c r="D386" s="36" t="n">
        <x:v>13.5782620264929</x:v>
      </x:c>
    </x:row>
    <x:row r="387">
      <x:c r="A387" s="16" t="n">
        <x:v>34</x:v>
      </x:c>
      <x:c r="B387" s="16" t="n">
        <x:v>10</x:v>
      </x:c>
      <x:c r="C387" s="16" t="n">
        <x:v>0</x:v>
      </x:c>
      <x:c r="D387" s="36" t="n">
        <x:v>0.696903150207561</x:v>
      </x:c>
    </x:row>
    <x:row r="388">
      <x:c r="A388" s="16" t="n">
        <x:v>34</x:v>
      </x:c>
      <x:c r="B388" s="16" t="n">
        <x:v>12</x:v>
      </x:c>
      <x:c r="C388" s="16" t="n">
        <x:v>-10</x:v>
      </x:c>
      <x:c r="D388" s="36" t="n">
        <x:v>13.192908397896</x:v>
      </x:c>
    </x:row>
    <x:row r="389">
      <x:c r="A389" s="16" t="n">
        <x:v>34</x:v>
      </x:c>
      <x:c r="B389" s="16" t="n">
        <x:v>12</x:v>
      </x:c>
      <x:c r="C389" s="16" t="n">
        <x:v>0</x:v>
      </x:c>
      <x:c r="D389" s="36" t="n">
        <x:v>1.48509426022958</x:v>
      </x:c>
    </x:row>
    <x:row r="390">
      <x:c r="A390" s="16" t="n">
        <x:v>34</x:v>
      </x:c>
      <x:c r="B390" s="16" t="n">
        <x:v>14</x:v>
      </x:c>
      <x:c r="C390" s="16" t="n">
        <x:v>-10</x:v>
      </x:c>
      <x:c r="D390" s="36" t="n">
        <x:v>12.8354453134944</x:v>
      </x:c>
    </x:row>
    <x:row r="391">
      <x:c r="A391" s="16" t="n">
        <x:v>34</x:v>
      </x:c>
      <x:c r="B391" s="16" t="n">
        <x:v>14</x:v>
      </x:c>
      <x:c r="C391" s="16" t="n">
        <x:v>0</x:v>
      </x:c>
      <x:c r="D391" s="36" t="n">
        <x:v>3.15873626526496</x:v>
      </x:c>
    </x:row>
    <x:row r="392">
      <x:c r="A392" s="16" t="n">
        <x:v>34</x:v>
      </x:c>
      <x:c r="B392" s="16" t="n">
        <x:v>16</x:v>
      </x:c>
      <x:c r="C392" s="16" t="n">
        <x:v>-10</x:v>
      </x:c>
      <x:c r="D392" s="36" t="n">
        <x:v>12.2736834925505</x:v>
      </x:c>
    </x:row>
    <x:row r="393">
      <x:c r="A393" s="16" t="n">
        <x:v>34</x:v>
      </x:c>
      <x:c r="B393" s="16" t="n">
        <x:v>16</x:v>
      </x:c>
      <x:c r="C393" s="16" t="n">
        <x:v>0</x:v>
      </x:c>
      <x:c r="D393" s="36" t="n">
        <x:v>8.21121074368975</x:v>
      </x:c>
    </x:row>
    <x:row r="394">
      <x:c r="A394" s="16" t="n">
        <x:v>34</x:v>
      </x:c>
      <x:c r="B394" s="16" t="n">
        <x:v>18</x:v>
      </x:c>
      <x:c r="C394" s="16" t="n">
        <x:v>-10</x:v>
      </x:c>
      <x:c r="D394" s="36" t="n">
        <x:v>11.610084888812</x:v>
      </x:c>
    </x:row>
    <x:row r="395">
      <x:c r="A395" s="16" t="n">
        <x:v>34</x:v>
      </x:c>
      <x:c r="B395" s="16" t="n">
        <x:v>18</x:v>
      </x:c>
      <x:c r="C395" s="16" t="n">
        <x:v>0</x:v>
      </x:c>
      <x:c r="D395" s="36" t="n">
        <x:v>14.0332839354778</x:v>
      </x:c>
    </x:row>
    <x:row r="396">
      <x:c r="A396" s="16" t="n">
        <x:v>34</x:v>
      </x:c>
      <x:c r="B396" s="16" t="n">
        <x:v>20</x:v>
      </x:c>
      <x:c r="C396" s="16" t="n">
        <x:v>-10</x:v>
      </x:c>
      <x:c r="D396" s="36" t="n">
        <x:v>10.8849994235354</x:v>
      </x:c>
    </x:row>
    <x:row r="397">
      <x:c r="A397" s="16" t="n">
        <x:v>34</x:v>
      </x:c>
      <x:c r="B397" s="16" t="n">
        <x:v>20</x:v>
      </x:c>
      <x:c r="C397" s="16" t="n">
        <x:v>0</x:v>
      </x:c>
      <x:c r="D397" s="36" t="n">
        <x:v>14.5759974570063</x:v>
      </x:c>
    </x:row>
    <x:row r="398">
      <x:c r="A398" s="16" t="n">
        <x:v>34</x:v>
      </x:c>
      <x:c r="B398" s="16" t="n">
        <x:v>22</x:v>
      </x:c>
      <x:c r="C398" s="16" t="n">
        <x:v>-10</x:v>
      </x:c>
      <x:c r="D398" s="36" t="n">
        <x:v>10.0381442021369</x:v>
      </x:c>
    </x:row>
    <x:row r="399">
      <x:c r="A399" s="16" t="n">
        <x:v>34</x:v>
      </x:c>
      <x:c r="B399" s="16" t="n">
        <x:v>22</x:v>
      </x:c>
      <x:c r="C399" s="16" t="n">
        <x:v>0</x:v>
      </x:c>
      <x:c r="D399" s="36" t="n">
        <x:v>13.8841121405742</x:v>
      </x:c>
    </x:row>
    <x:row r="400">
      <x:c r="A400" s="16" t="n">
        <x:v>34</x:v>
      </x:c>
      <x:c r="B400" s="16" t="n">
        <x:v>24</x:v>
      </x:c>
      <x:c r="C400" s="16" t="n">
        <x:v>-10</x:v>
      </x:c>
      <x:c r="D400" s="36" t="n">
        <x:v>9.24505018064519</x:v>
      </x:c>
    </x:row>
    <x:row r="401">
      <x:c r="A401" s="16" t="n">
        <x:v>34</x:v>
      </x:c>
      <x:c r="B401" s="16" t="n">
        <x:v>24</x:v>
      </x:c>
      <x:c r="C401" s="16" t="n">
        <x:v>0</x:v>
      </x:c>
      <x:c r="D401" s="36" t="n">
        <x:v>13.2763021746988</x:v>
      </x:c>
    </x:row>
    <x:row r="402">
      <x:c r="A402" s="16" t="n">
        <x:v>34</x:v>
      </x:c>
      <x:c r="B402" s="16" t="n">
        <x:v>26</x:v>
      </x:c>
      <x:c r="C402" s="16" t="n">
        <x:v>-10</x:v>
      </x:c>
      <x:c r="D402" s="36" t="n">
        <x:v>10.793607227294</x:v>
      </x:c>
    </x:row>
    <x:row r="403">
      <x:c r="A403" s="16" t="n">
        <x:v>34</x:v>
      </x:c>
      <x:c r="B403" s="16" t="n">
        <x:v>26</x:v>
      </x:c>
      <x:c r="C403" s="16" t="n">
        <x:v>0</x:v>
      </x:c>
      <x:c r="D403" s="36" t="n">
        <x:v>13.0402124485806</x:v>
      </x:c>
    </x:row>
    <x:row r="404">
      <x:c r="A404" s="16" t="n">
        <x:v>34</x:v>
      </x:c>
      <x:c r="B404" s="16" t="n">
        <x:v>28</x:v>
      </x:c>
      <x:c r="C404" s="16" t="n">
        <x:v>-10</x:v>
      </x:c>
      <x:c r="D404" s="36" t="n">
        <x:v>15.3421716211855</x:v>
      </x:c>
    </x:row>
    <x:row r="405">
      <x:c r="A405" s="16" t="n">
        <x:v>34</x:v>
      </x:c>
      <x:c r="B405" s="16" t="n">
        <x:v>28</x:v>
      </x:c>
      <x:c r="C405" s="16" t="n">
        <x:v>0</x:v>
      </x:c>
      <x:c r="D405" s="36" t="n">
        <x:v>12.8569260570197</x:v>
      </x:c>
    </x:row>
    <x:row r="406">
      <x:c r="A406" s="16" t="n">
        <x:v>34</x:v>
      </x:c>
      <x:c r="B406" s="16" t="n">
        <x:v>30</x:v>
      </x:c>
      <x:c r="C406" s="16" t="n">
        <x:v>-10</x:v>
      </x:c>
      <x:c r="D406" s="36" t="n">
        <x:v>14.9237766050246</x:v>
      </x:c>
    </x:row>
    <x:row r="407">
      <x:c r="A407" s="16" t="n">
        <x:v>34</x:v>
      </x:c>
      <x:c r="B407" s="16" t="n">
        <x:v>30</x:v>
      </x:c>
      <x:c r="C407" s="16" t="n">
        <x:v>0</x:v>
      </x:c>
      <x:c r="D407" s="36" t="n">
        <x:v>12.7811564377598</x:v>
      </x:c>
    </x:row>
    <x:row r="408">
      <x:c r="A408" s="16" t="n">
        <x:v>34</x:v>
      </x:c>
      <x:c r="B408" s="16" t="n">
        <x:v>32</x:v>
      </x:c>
      <x:c r="C408" s="16" t="n">
        <x:v>-10</x:v>
      </x:c>
      <x:c r="D408" s="36" t="n">
        <x:v>13.8442829408492</x:v>
      </x:c>
    </x:row>
    <x:row r="409">
      <x:c r="A409" s="16" t="n">
        <x:v>34</x:v>
      </x:c>
      <x:c r="B409" s="16" t="n">
        <x:v>32</x:v>
      </x:c>
      <x:c r="C409" s="16" t="n">
        <x:v>0</x:v>
      </x:c>
      <x:c r="D409" s="36" t="n">
        <x:v>12.6698471539003</x:v>
      </x:c>
    </x:row>
    <x:row r="410">
      <x:c r="A410" s="16" t="n">
        <x:v>34</x:v>
      </x:c>
      <x:c r="B410" s="16" t="n">
        <x:v>34</x:v>
      </x:c>
      <x:c r="C410" s="16" t="n">
        <x:v>-10</x:v>
      </x:c>
      <x:c r="D410" s="36" t="n">
        <x:v>13.3169986477933</x:v>
      </x:c>
    </x:row>
    <x:row r="411">
      <x:c r="A411" s="16" t="n">
        <x:v>34</x:v>
      </x:c>
      <x:c r="B411" s="16" t="n">
        <x:v>34</x:v>
      </x:c>
      <x:c r="C411" s="16" t="n">
        <x:v>0</x:v>
      </x:c>
      <x:c r="D411" s="36" t="n">
        <x:v>12.6479285115813</x:v>
      </x:c>
    </x:row>
    <x:row r="412">
      <x:c r="A412" s="16" t="n">
        <x:v>34</x:v>
      </x:c>
      <x:c r="B412" s="16" t="n">
        <x:v>36</x:v>
      </x:c>
      <x:c r="C412" s="16" t="n">
        <x:v>-10</x:v>
      </x:c>
      <x:c r="D412" s="36" t="n">
        <x:v>13.1893247837772</x:v>
      </x:c>
    </x:row>
    <x:row r="413">
      <x:c r="A413" s="16" t="n">
        <x:v>34</x:v>
      </x:c>
      <x:c r="B413" s="16" t="n">
        <x:v>36</x:v>
      </x:c>
      <x:c r="C413" s="16" t="n">
        <x:v>0</x:v>
      </x:c>
      <x:c r="D413" s="36" t="n">
        <x:v>12.5976011395569</x:v>
      </x:c>
    </x:row>
    <x:row r="414">
      <x:c r="A414" s="16" t="n">
        <x:v>34</x:v>
      </x:c>
      <x:c r="B414" s="16" t="n">
        <x:v>38</x:v>
      </x:c>
      <x:c r="C414" s="16" t="n">
        <x:v>-10</x:v>
      </x:c>
      <x:c r="D414" s="36" t="n">
        <x:v>13.3183726858256</x:v>
      </x:c>
    </x:row>
    <x:row r="415">
      <x:c r="A415" s="16" t="n">
        <x:v>34</x:v>
      </x:c>
      <x:c r="B415" s="16" t="n">
        <x:v>38</x:v>
      </x:c>
      <x:c r="C415" s="16" t="n">
        <x:v>0</x:v>
      </x:c>
      <x:c r="D415" s="36" t="n">
        <x:v>12.6762588785444</x:v>
      </x:c>
    </x:row>
    <x:row r="416">
      <x:c r="A416" s="16" t="n">
        <x:v>34</x:v>
      </x:c>
      <x:c r="B416" s="16" t="n">
        <x:v>40</x:v>
      </x:c>
      <x:c r="C416" s="16" t="n">
        <x:v>-10</x:v>
      </x:c>
      <x:c r="D416" s="36" t="n">
        <x:v>14.0601209859652</x:v>
      </x:c>
    </x:row>
    <x:row r="417">
      <x:c r="A417" s="16" t="n">
        <x:v>34</x:v>
      </x:c>
      <x:c r="B417" s="16" t="n">
        <x:v>40</x:v>
      </x:c>
      <x:c r="C417" s="16" t="n">
        <x:v>0</x:v>
      </x:c>
      <x:c r="D417" s="36" t="n">
        <x:v>12.6559821102923</x:v>
      </x:c>
    </x:row>
    <x:row r="418">
      <x:c r="A418" s="16" t="n">
        <x:v>36</x:v>
      </x:c>
      <x:c r="B418" s="16" t="n">
        <x:v>10</x:v>
      </x:c>
      <x:c r="C418" s="16" t="n">
        <x:v>-10</x:v>
      </x:c>
      <x:c r="D418" s="36" t="n">
        <x:v>12.1824625571135</x:v>
      </x:c>
    </x:row>
    <x:row r="419">
      <x:c r="A419" s="16" t="n">
        <x:v>36</x:v>
      </x:c>
      <x:c r="B419" s="16" t="n">
        <x:v>10</x:v>
      </x:c>
      <x:c r="C419" s="16" t="n">
        <x:v>0</x:v>
      </x:c>
      <x:c r="D419" s="36" t="n">
        <x:v>0.623043107975924</x:v>
      </x:c>
    </x:row>
    <x:row r="420">
      <x:c r="A420" s="16" t="n">
        <x:v>36</x:v>
      </x:c>
      <x:c r="B420" s="16" t="n">
        <x:v>12</x:v>
      </x:c>
      <x:c r="C420" s="16" t="n">
        <x:v>-10</x:v>
      </x:c>
      <x:c r="D420" s="36" t="n">
        <x:v>12.2764325580551</x:v>
      </x:c>
    </x:row>
    <x:row r="421">
      <x:c r="A421" s="16" t="n">
        <x:v>36</x:v>
      </x:c>
      <x:c r="B421" s="16" t="n">
        <x:v>12</x:v>
      </x:c>
      <x:c r="C421" s="16" t="n">
        <x:v>0</x:v>
      </x:c>
      <x:c r="D421" s="36" t="n">
        <x:v>1.08388393150395</x:v>
      </x:c>
    </x:row>
    <x:row r="422">
      <x:c r="A422" s="16" t="n">
        <x:v>36</x:v>
      </x:c>
      <x:c r="B422" s="16" t="n">
        <x:v>14</x:v>
      </x:c>
      <x:c r="C422" s="16" t="n">
        <x:v>-10</x:v>
      </x:c>
      <x:c r="D422" s="36" t="n">
        <x:v>12.0575157815993</x:v>
      </x:c>
    </x:row>
    <x:row r="423">
      <x:c r="A423" s="16" t="n">
        <x:v>36</x:v>
      </x:c>
      <x:c r="B423" s="16" t="n">
        <x:v>14</x:v>
      </x:c>
      <x:c r="C423" s="16" t="n">
        <x:v>0</x:v>
      </x:c>
      <x:c r="D423" s="36" t="n">
        <x:v>2.07886830206468</x:v>
      </x:c>
    </x:row>
    <x:row r="424">
      <x:c r="A424" s="16" t="n">
        <x:v>36</x:v>
      </x:c>
      <x:c r="B424" s="16" t="n">
        <x:v>16</x:v>
      </x:c>
      <x:c r="C424" s="16" t="n">
        <x:v>-10</x:v>
      </x:c>
      <x:c r="D424" s="36" t="n">
        <x:v>11.7548292045901</x:v>
      </x:c>
    </x:row>
    <x:row r="425">
      <x:c r="A425" s="16" t="n">
        <x:v>36</x:v>
      </x:c>
      <x:c r="B425" s="16" t="n">
        <x:v>16</x:v>
      </x:c>
      <x:c r="C425" s="16" t="n">
        <x:v>0</x:v>
      </x:c>
      <x:c r="D425" s="36" t="n">
        <x:v>5.02489363106276</x:v>
      </x:c>
    </x:row>
    <x:row r="426">
      <x:c r="A426" s="16" t="n">
        <x:v>36</x:v>
      </x:c>
      <x:c r="B426" s="16" t="n">
        <x:v>18</x:v>
      </x:c>
      <x:c r="C426" s="16" t="n">
        <x:v>-10</x:v>
      </x:c>
      <x:c r="D426" s="36" t="n">
        <x:v>11.2735759329686</x:v>
      </x:c>
    </x:row>
    <x:row r="427">
      <x:c r="A427" s="16" t="n">
        <x:v>36</x:v>
      </x:c>
      <x:c r="B427" s="16" t="n">
        <x:v>18</x:v>
      </x:c>
      <x:c r="C427" s="16" t="n">
        <x:v>0</x:v>
      </x:c>
      <x:c r="D427" s="36" t="n">
        <x:v>11.6034407326617</x:v>
      </x:c>
    </x:row>
    <x:row r="428">
      <x:c r="A428" s="16" t="n">
        <x:v>36</x:v>
      </x:c>
      <x:c r="B428" s="16" t="n">
        <x:v>20</x:v>
      </x:c>
      <x:c r="C428" s="16" t="n">
        <x:v>-10</x:v>
      </x:c>
      <x:c r="D428" s="36" t="n">
        <x:v>10.7306551602225</x:v>
      </x:c>
    </x:row>
    <x:row r="429">
      <x:c r="A429" s="16" t="n">
        <x:v>36</x:v>
      </x:c>
      <x:c r="B429" s="16" t="n">
        <x:v>20</x:v>
      </x:c>
      <x:c r="C429" s="16" t="n">
        <x:v>0</x:v>
      </x:c>
      <x:c r="D429" s="36" t="n">
        <x:v>14.5054939785186</x:v>
      </x:c>
    </x:row>
    <x:row r="430">
      <x:c r="A430" s="16" t="n">
        <x:v>36</x:v>
      </x:c>
      <x:c r="B430" s="16" t="n">
        <x:v>22</x:v>
      </x:c>
      <x:c r="C430" s="16" t="n">
        <x:v>-10</x:v>
      </x:c>
      <x:c r="D430" s="36" t="n">
        <x:v>10.0615686932189</x:v>
      </x:c>
    </x:row>
    <x:row r="431">
      <x:c r="A431" s="16" t="n">
        <x:v>36</x:v>
      </x:c>
      <x:c r="B431" s="16" t="n">
        <x:v>22</x:v>
      </x:c>
      <x:c r="C431" s="16" t="n">
        <x:v>0</x:v>
      </x:c>
      <x:c r="D431" s="36" t="n">
        <x:v>14.0402946699879</x:v>
      </x:c>
    </x:row>
    <x:row r="432">
      <x:c r="A432" s="16" t="n">
        <x:v>36</x:v>
      </x:c>
      <x:c r="B432" s="16" t="n">
        <x:v>24</x:v>
      </x:c>
      <x:c r="C432" s="16" t="n">
        <x:v>-10</x:v>
      </x:c>
      <x:c r="D432" s="36" t="n">
        <x:v>9.29079021651338</x:v>
      </x:c>
    </x:row>
    <x:row r="433">
      <x:c r="A433" s="16" t="n">
        <x:v>36</x:v>
      </x:c>
      <x:c r="B433" s="16" t="n">
        <x:v>24</x:v>
      </x:c>
      <x:c r="C433" s="16" t="n">
        <x:v>0</x:v>
      </x:c>
      <x:c r="D433" s="36" t="n">
        <x:v>13.4524179444031</x:v>
      </x:c>
    </x:row>
    <x:row r="434">
      <x:c r="A434" s="16" t="n">
        <x:v>36</x:v>
      </x:c>
      <x:c r="B434" s="16" t="n">
        <x:v>26</x:v>
      </x:c>
      <x:c r="C434" s="16" t="n">
        <x:v>-10</x:v>
      </x:c>
      <x:c r="D434" s="36" t="n">
        <x:v>9.24744192828068</x:v>
      </x:c>
    </x:row>
    <x:row r="435">
      <x:c r="A435" s="16" t="n">
        <x:v>36</x:v>
      </x:c>
      <x:c r="B435" s="16" t="n">
        <x:v>26</x:v>
      </x:c>
      <x:c r="C435" s="16" t="n">
        <x:v>0</x:v>
      </x:c>
      <x:c r="D435" s="36" t="n">
        <x:v>13.0101790623381</x:v>
      </x:c>
    </x:row>
    <x:row r="436">
      <x:c r="A436" s="16" t="n">
        <x:v>36</x:v>
      </x:c>
      <x:c r="B436" s="16" t="n">
        <x:v>28</x:v>
      </x:c>
      <x:c r="C436" s="16" t="n">
        <x:v>-10</x:v>
      </x:c>
      <x:c r="D436" s="36" t="n">
        <x:v>14.0959930495339</x:v>
      </x:c>
    </x:row>
    <x:row r="437">
      <x:c r="A437" s="16" t="n">
        <x:v>36</x:v>
      </x:c>
      <x:c r="B437" s="16" t="n">
        <x:v>28</x:v>
      </x:c>
      <x:c r="C437" s="16" t="n">
        <x:v>0</x:v>
      </x:c>
      <x:c r="D437" s="36" t="n">
        <x:v>12.7927623769961</x:v>
      </x:c>
    </x:row>
    <x:row r="438">
      <x:c r="A438" s="16" t="n">
        <x:v>36</x:v>
      </x:c>
      <x:c r="B438" s="16" t="n">
        <x:v>30</x:v>
      </x:c>
      <x:c r="C438" s="16" t="n">
        <x:v>-10</x:v>
      </x:c>
      <x:c r="D438" s="36" t="n">
        <x:v>15.8872633570448</x:v>
      </x:c>
    </x:row>
    <x:row r="439">
      <x:c r="A439" s="16" t="n">
        <x:v>36</x:v>
      </x:c>
      <x:c r="B439" s="16" t="n">
        <x:v>30</x:v>
      </x:c>
      <x:c r="C439" s="16" t="n">
        <x:v>0</x:v>
      </x:c>
      <x:c r="D439" s="36" t="n">
        <x:v>12.7117553582626</x:v>
      </x:c>
    </x:row>
    <x:row r="440">
      <x:c r="A440" s="16" t="n">
        <x:v>36</x:v>
      </x:c>
      <x:c r="B440" s="16" t="n">
        <x:v>32</x:v>
      </x:c>
      <x:c r="C440" s="16" t="n">
        <x:v>-10</x:v>
      </x:c>
      <x:c r="D440" s="36" t="n">
        <x:v>14.7501424574939</x:v>
      </x:c>
    </x:row>
    <x:row r="441">
      <x:c r="A441" s="16" t="n">
        <x:v>36</x:v>
      </x:c>
      <x:c r="B441" s="16" t="n">
        <x:v>32</x:v>
      </x:c>
      <x:c r="C441" s="16" t="n">
        <x:v>0</x:v>
      </x:c>
      <x:c r="D441" s="36" t="n">
        <x:v>12.65186827658</x:v>
      </x:c>
    </x:row>
    <x:row r="442">
      <x:c r="A442" s="16" t="n">
        <x:v>36</x:v>
      </x:c>
      <x:c r="B442" s="16" t="n">
        <x:v>34</x:v>
      </x:c>
      <x:c r="C442" s="16" t="n">
        <x:v>-10</x:v>
      </x:c>
      <x:c r="D442" s="36" t="n">
        <x:v>13.8340266777431</x:v>
      </x:c>
    </x:row>
    <x:row r="443">
      <x:c r="A443" s="16" t="n">
        <x:v>36</x:v>
      </x:c>
      <x:c r="B443" s="16" t="n">
        <x:v>34</x:v>
      </x:c>
      <x:c r="C443" s="16" t="n">
        <x:v>0</x:v>
      </x:c>
      <x:c r="D443" s="36" t="n">
        <x:v>12.6345359964674</x:v>
      </x:c>
    </x:row>
    <x:row r="444">
      <x:c r="A444" s="16" t="n">
        <x:v>36</x:v>
      </x:c>
      <x:c r="B444" s="16" t="n">
        <x:v>36</x:v>
      </x:c>
      <x:c r="C444" s="16" t="n">
        <x:v>-10</x:v>
      </x:c>
      <x:c r="D444" s="36" t="n">
        <x:v>13.5557487723133</x:v>
      </x:c>
    </x:row>
    <x:row r="445">
      <x:c r="A445" s="16" t="n">
        <x:v>36</x:v>
      </x:c>
      <x:c r="B445" s="16" t="n">
        <x:v>36</x:v>
      </x:c>
      <x:c r="C445" s="16" t="n">
        <x:v>0</x:v>
      </x:c>
      <x:c r="D445" s="36" t="n">
        <x:v>12.5885806344251</x:v>
      </x:c>
    </x:row>
    <x:row r="446">
      <x:c r="A446" s="16" t="n">
        <x:v>36</x:v>
      </x:c>
      <x:c r="B446" s="16" t="n">
        <x:v>38</x:v>
      </x:c>
      <x:c r="C446" s="16" t="n">
        <x:v>-10</x:v>
      </x:c>
      <x:c r="D446" s="36" t="n">
        <x:v>13.3895327946793</x:v>
      </x:c>
    </x:row>
    <x:row r="447">
      <x:c r="A447" s="16" t="n">
        <x:v>36</x:v>
      </x:c>
      <x:c r="B447" s="16" t="n">
        <x:v>38</x:v>
      </x:c>
      <x:c r="C447" s="16" t="n">
        <x:v>0</x:v>
      </x:c>
      <x:c r="D447" s="36" t="n">
        <x:v>12.5301258514778</x:v>
      </x:c>
    </x:row>
    <x:row r="448">
      <x:c r="A448" s="16" t="n">
        <x:v>36</x:v>
      </x:c>
      <x:c r="B448" s="16" t="n">
        <x:v>40</x:v>
      </x:c>
      <x:c r="C448" s="16" t="n">
        <x:v>-10</x:v>
      </x:c>
      <x:c r="D448" s="36" t="n">
        <x:v>13.8366704137122</x:v>
      </x:c>
    </x:row>
    <x:row r="449">
      <x:c r="A449" s="16" t="n">
        <x:v>36</x:v>
      </x:c>
      <x:c r="B449" s="16" t="n">
        <x:v>40</x:v>
      </x:c>
      <x:c r="C449" s="16" t="n">
        <x:v>0</x:v>
      </x:c>
      <x:c r="D449" s="36" t="n">
        <x:v>12.5177461803379</x:v>
      </x:c>
    </x:row>
    <x:row r="450">
      <x:c r="A450" s="16" t="n">
        <x:v>38</x:v>
      </x:c>
      <x:c r="B450" s="16" t="n">
        <x:v>10</x:v>
      </x:c>
      <x:c r="C450" s="16" t="n">
        <x:v>-10</x:v>
      </x:c>
      <x:c r="D450" s="36" t="n">
        <x:v>10.4000791923002</x:v>
      </x:c>
    </x:row>
    <x:row r="451">
      <x:c r="A451" s="16" t="n">
        <x:v>38</x:v>
      </x:c>
      <x:c r="B451" s="16" t="n">
        <x:v>10</x:v>
      </x:c>
      <x:c r="C451" s="16" t="n">
        <x:v>0</x:v>
      </x:c>
      <x:c r="D451" s="36" t="n">
        <x:v>0.483608609595103</x:v>
      </x:c>
    </x:row>
    <x:row r="452">
      <x:c r="A452" s="16" t="n">
        <x:v>38</x:v>
      </x:c>
      <x:c r="B452" s="16" t="n">
        <x:v>12</x:v>
      </x:c>
      <x:c r="C452" s="16" t="n">
        <x:v>-10</x:v>
      </x:c>
      <x:c r="D452" s="36" t="n">
        <x:v>11.0809490806248</x:v>
      </x:c>
    </x:row>
    <x:row r="453">
      <x:c r="A453" s="16" t="n">
        <x:v>38</x:v>
      </x:c>
      <x:c r="B453" s="16" t="n">
        <x:v>12</x:v>
      </x:c>
      <x:c r="C453" s="16" t="n">
        <x:v>0</x:v>
      </x:c>
      <x:c r="D453" s="36" t="n">
        <x:v>0.712398633001287</x:v>
      </x:c>
    </x:row>
    <x:row r="454">
      <x:c r="A454" s="16" t="n">
        <x:v>38</x:v>
      </x:c>
      <x:c r="B454" s="16" t="n">
        <x:v>14</x:v>
      </x:c>
      <x:c r="C454" s="16" t="n">
        <x:v>-10</x:v>
      </x:c>
      <x:c r="D454" s="36" t="n">
        <x:v>11.0505416207189</x:v>
      </x:c>
    </x:row>
    <x:row r="455">
      <x:c r="A455" s="16" t="n">
        <x:v>38</x:v>
      </x:c>
      <x:c r="B455" s="16" t="n">
        <x:v>14</x:v>
      </x:c>
      <x:c r="C455" s="16" t="n">
        <x:v>0</x:v>
      </x:c>
      <x:c r="D455" s="36" t="n">
        <x:v>1.39690530329971</x:v>
      </x:c>
    </x:row>
    <x:row r="456">
      <x:c r="A456" s="16" t="n">
        <x:v>38</x:v>
      </x:c>
      <x:c r="B456" s="16" t="n">
        <x:v>16</x:v>
      </x:c>
      <x:c r="C456" s="16" t="n">
        <x:v>-10</x:v>
      </x:c>
      <x:c r="D456" s="36" t="n">
        <x:v>11.0239117973124</x:v>
      </x:c>
    </x:row>
    <x:row r="457">
      <x:c r="A457" s="16" t="n">
        <x:v>38</x:v>
      </x:c>
      <x:c r="B457" s="16" t="n">
        <x:v>16</x:v>
      </x:c>
      <x:c r="C457" s="16" t="n">
        <x:v>0</x:v>
      </x:c>
      <x:c r="D457" s="36" t="n">
        <x:v>3.11842241478915</x:v>
      </x:c>
    </x:row>
    <x:row r="458">
      <x:c r="A458" s="16" t="n">
        <x:v>38</x:v>
      </x:c>
      <x:c r="B458" s="16" t="n">
        <x:v>18</x:v>
      </x:c>
      <x:c r="C458" s="16" t="n">
        <x:v>-10</x:v>
      </x:c>
      <x:c r="D458" s="36" t="n">
        <x:v>10.7401275449899</x:v>
      </x:c>
    </x:row>
    <x:row r="459">
      <x:c r="A459" s="16" t="n">
        <x:v>38</x:v>
      </x:c>
      <x:c r="B459" s="16" t="n">
        <x:v>18</x:v>
      </x:c>
      <x:c r="C459" s="16" t="n">
        <x:v>0</x:v>
      </x:c>
      <x:c r="D459" s="36" t="n">
        <x:v>8.02352298855908</x:v>
      </x:c>
    </x:row>
    <x:row r="460">
      <x:c r="A460" s="16" t="n">
        <x:v>38</x:v>
      </x:c>
      <x:c r="B460" s="16" t="n">
        <x:v>20</x:v>
      </x:c>
      <x:c r="C460" s="16" t="n">
        <x:v>-10</x:v>
      </x:c>
      <x:c r="D460" s="36" t="n">
        <x:v>10.4083482485012</x:v>
      </x:c>
    </x:row>
    <x:row r="461">
      <x:c r="A461" s="16" t="n">
        <x:v>38</x:v>
      </x:c>
      <x:c r="B461" s="16" t="n">
        <x:v>20</x:v>
      </x:c>
      <x:c r="C461" s="16" t="n">
        <x:v>0</x:v>
      </x:c>
      <x:c r="D461" s="36" t="n">
        <x:v>13.6645779944636</x:v>
      </x:c>
    </x:row>
    <x:row r="462">
      <x:c r="A462" s="16" t="n">
        <x:v>38</x:v>
      </x:c>
      <x:c r="B462" s="16" t="n">
        <x:v>22</x:v>
      </x:c>
      <x:c r="C462" s="16" t="n">
        <x:v>-10</x:v>
      </x:c>
      <x:c r="D462" s="36" t="n">
        <x:v>9.93321978300231</x:v>
      </x:c>
    </x:row>
    <x:row r="463">
      <x:c r="A463" s="16" t="n">
        <x:v>38</x:v>
      </x:c>
      <x:c r="B463" s="16" t="n">
        <x:v>22</x:v>
      </x:c>
      <x:c r="C463" s="16" t="n">
        <x:v>0</x:v>
      </x:c>
      <x:c r="D463" s="36" t="n">
        <x:v>14.2956415885855</x:v>
      </x:c>
    </x:row>
    <x:row r="464">
      <x:c r="A464" s="16" t="n">
        <x:v>38</x:v>
      </x:c>
      <x:c r="B464" s="16" t="n">
        <x:v>24</x:v>
      </x:c>
      <x:c r="C464" s="16" t="n">
        <x:v>-10</x:v>
      </x:c>
      <x:c r="D464" s="36" t="n">
        <x:v>9.44212758102578</x:v>
      </x:c>
    </x:row>
    <x:row r="465">
      <x:c r="A465" s="16" t="n">
        <x:v>38</x:v>
      </x:c>
      <x:c r="B465" s="16" t="n">
        <x:v>24</x:v>
      </x:c>
      <x:c r="C465" s="16" t="n">
        <x:v>0</x:v>
      </x:c>
      <x:c r="D465" s="36" t="n">
        <x:v>13.6060396222937</x:v>
      </x:c>
    </x:row>
    <x:row r="466">
      <x:c r="A466" s="16" t="n">
        <x:v>38</x:v>
      </x:c>
      <x:c r="B466" s="16" t="n">
        <x:v>26</x:v>
      </x:c>
      <x:c r="C466" s="16" t="n">
        <x:v>-10</x:v>
      </x:c>
      <x:c r="D466" s="36" t="n">
        <x:v>8.86610009866917</x:v>
      </x:c>
    </x:row>
    <x:row r="467">
      <x:c r="A467" s="16" t="n">
        <x:v>38</x:v>
      </x:c>
      <x:c r="B467" s="16" t="n">
        <x:v>26</x:v>
      </x:c>
      <x:c r="C467" s="16" t="n">
        <x:v>0</x:v>
      </x:c>
      <x:c r="D467" s="36" t="n">
        <x:v>13.086427560626</x:v>
      </x:c>
    </x:row>
    <x:row r="468">
      <x:c r="A468" s="16" t="n">
        <x:v>38</x:v>
      </x:c>
      <x:c r="B468" s="16" t="n">
        <x:v>28</x:v>
      </x:c>
      <x:c r="C468" s="16" t="n">
        <x:v>-10</x:v>
      </x:c>
      <x:c r="D468" s="36" t="n">
        <x:v>11.0451245599095</x:v>
      </x:c>
    </x:row>
    <x:row r="469">
      <x:c r="A469" s="16" t="n">
        <x:v>38</x:v>
      </x:c>
      <x:c r="B469" s="16" t="n">
        <x:v>28</x:v>
      </x:c>
      <x:c r="C469" s="16" t="n">
        <x:v>0</x:v>
      </x:c>
      <x:c r="D469" s="36" t="n">
        <x:v>12.8069955052211</x:v>
      </x:c>
    </x:row>
    <x:row r="470">
      <x:c r="A470" s="16" t="n">
        <x:v>38</x:v>
      </x:c>
      <x:c r="B470" s="16" t="n">
        <x:v>30</x:v>
      </x:c>
      <x:c r="C470" s="16" t="n">
        <x:v>-10</x:v>
      </x:c>
      <x:c r="D470" s="36" t="n">
        <x:v>16.1689970055897</x:v>
      </x:c>
    </x:row>
    <x:row r="471">
      <x:c r="A471" s="16" t="n">
        <x:v>38</x:v>
      </x:c>
      <x:c r="B471" s="16" t="n">
        <x:v>30</x:v>
      </x:c>
      <x:c r="C471" s="16" t="n">
        <x:v>0</x:v>
      </x:c>
      <x:c r="D471" s="36" t="n">
        <x:v>12.6973572971887</x:v>
      </x:c>
    </x:row>
    <x:row r="472">
      <x:c r="A472" s="16" t="n">
        <x:v>38</x:v>
      </x:c>
      <x:c r="B472" s="16" t="n">
        <x:v>32</x:v>
      </x:c>
      <x:c r="C472" s="16" t="n">
        <x:v>-10</x:v>
      </x:c>
      <x:c r="D472" s="36" t="n">
        <x:v>15.5160650853163</x:v>
      </x:c>
    </x:row>
    <x:row r="473">
      <x:c r="A473" s="16" t="n">
        <x:v>38</x:v>
      </x:c>
      <x:c r="B473" s="16" t="n">
        <x:v>32</x:v>
      </x:c>
      <x:c r="C473" s="16" t="n">
        <x:v>0</x:v>
      </x:c>
      <x:c r="D473" s="36" t="n">
        <x:v>12.5873002678469</x:v>
      </x:c>
    </x:row>
    <x:row r="474">
      <x:c r="A474" s="16" t="n">
        <x:v>38</x:v>
      </x:c>
      <x:c r="B474" s="16" t="n">
        <x:v>34</x:v>
      </x:c>
      <x:c r="C474" s="16" t="n">
        <x:v>-10</x:v>
      </x:c>
      <x:c r="D474" s="36" t="n">
        <x:v>14.5493248634252</x:v>
      </x:c>
    </x:row>
    <x:row r="475">
      <x:c r="A475" s="16" t="n">
        <x:v>38</x:v>
      </x:c>
      <x:c r="B475" s="16" t="n">
        <x:v>34</x:v>
      </x:c>
      <x:c r="C475" s="16" t="n">
        <x:v>0</x:v>
      </x:c>
      <x:c r="D475" s="36" t="n">
        <x:v>12.4475663589676</x:v>
      </x:c>
    </x:row>
    <x:row r="476">
      <x:c r="A476" s="16" t="n">
        <x:v>38</x:v>
      </x:c>
      <x:c r="B476" s="16" t="n">
        <x:v>36</x:v>
      </x:c>
      <x:c r="C476" s="16" t="n">
        <x:v>-10</x:v>
      </x:c>
      <x:c r="D476" s="36" t="n">
        <x:v>13.8871350933525</x:v>
      </x:c>
    </x:row>
    <x:row r="477">
      <x:c r="A477" s="16" t="n">
        <x:v>38</x:v>
      </x:c>
      <x:c r="B477" s="16" t="n">
        <x:v>36</x:v>
      </x:c>
      <x:c r="C477" s="16" t="n">
        <x:v>0</x:v>
      </x:c>
      <x:c r="D477" s="36" t="n">
        <x:v>12.3974203806923</x:v>
      </x:c>
    </x:row>
    <x:row r="478">
      <x:c r="A478" s="16" t="n">
        <x:v>38</x:v>
      </x:c>
      <x:c r="B478" s="16" t="n">
        <x:v>38</x:v>
      </x:c>
      <x:c r="C478" s="16" t="n">
        <x:v>-10</x:v>
      </x:c>
      <x:c r="D478" s="36" t="n">
        <x:v>13.6252120708171</x:v>
      </x:c>
    </x:row>
    <x:row r="479">
      <x:c r="A479" s="16" t="n">
        <x:v>38</x:v>
      </x:c>
      <x:c r="B479" s="16" t="n">
        <x:v>38</x:v>
      </x:c>
      <x:c r="C479" s="16" t="n">
        <x:v>0</x:v>
      </x:c>
      <x:c r="D479" s="36" t="n">
        <x:v>12.3789865338071</x:v>
      </x:c>
    </x:row>
    <x:row r="480">
      <x:c r="A480" s="16" t="n">
        <x:v>38</x:v>
      </x:c>
      <x:c r="B480" s="16" t="n">
        <x:v>40</x:v>
      </x:c>
      <x:c r="C480" s="16" t="n">
        <x:v>-10</x:v>
      </x:c>
      <x:c r="D480" s="36" t="n">
        <x:v>13.637761268867</x:v>
      </x:c>
    </x:row>
    <x:row r="481">
      <x:c r="A481" s="16" t="n">
        <x:v>38</x:v>
      </x:c>
      <x:c r="B481" s="16" t="n">
        <x:v>40</x:v>
      </x:c>
      <x:c r="C481" s="16" t="n">
        <x:v>0</x:v>
      </x:c>
      <x:c r="D481" s="36" t="n">
        <x:v>12.4787618783158</x:v>
      </x:c>
    </x:row>
    <x:row r="482">
      <x:c r="A482" s="16" t="n">
        <x:v>40</x:v>
      </x:c>
      <x:c r="B482" s="16" t="n">
        <x:v>10</x:v>
      </x:c>
      <x:c r="C482" s="16" t="n">
        <x:v>-10</x:v>
      </x:c>
      <x:c r="D482" s="36" t="n">
        <x:v>8.57899677284434</x:v>
      </x:c>
    </x:row>
    <x:row r="483">
      <x:c r="A483" s="16" t="n">
        <x:v>40</x:v>
      </x:c>
      <x:c r="B483" s="16" t="n">
        <x:v>10</x:v>
      </x:c>
      <x:c r="C483" s="16" t="n">
        <x:v>0</x:v>
      </x:c>
      <x:c r="D483" s="36" t="n">
        <x:v>0.288185017465328</x:v>
      </x:c>
    </x:row>
    <x:row r="484">
      <x:c r="A484" s="16" t="n">
        <x:v>40</x:v>
      </x:c>
      <x:c r="B484" s="16" t="n">
        <x:v>12</x:v>
      </x:c>
      <x:c r="C484" s="16" t="n">
        <x:v>-10</x:v>
      </x:c>
      <x:c r="D484" s="36" t="n">
        <x:v>9.4969410927656</x:v>
      </x:c>
    </x:row>
    <x:row r="485">
      <x:c r="A485" s="16" t="n">
        <x:v>40</x:v>
      </x:c>
      <x:c r="B485" s="16" t="n">
        <x:v>12</x:v>
      </x:c>
      <x:c r="C485" s="16" t="n">
        <x:v>0</x:v>
      </x:c>
      <x:c r="D485" s="36" t="n">
        <x:v>0.548974992299947</x:v>
      </x:c>
    </x:row>
    <x:row r="486">
      <x:c r="A486" s="16" t="n">
        <x:v>40</x:v>
      </x:c>
      <x:c r="B486" s="16" t="n">
        <x:v>14</x:v>
      </x:c>
      <x:c r="C486" s="16" t="n">
        <x:v>-10</x:v>
      </x:c>
      <x:c r="D486" s="36" t="n">
        <x:v>9.97166344139936</x:v>
      </x:c>
    </x:row>
    <x:row r="487">
      <x:c r="A487" s="16" t="n">
        <x:v>40</x:v>
      </x:c>
      <x:c r="B487" s="16" t="n">
        <x:v>14</x:v>
      </x:c>
      <x:c r="C487" s="16" t="n">
        <x:v>0</x:v>
      </x:c>
      <x:c r="D487" s="36" t="n">
        <x:v>0.875518252794619</x:v>
      </x:c>
    </x:row>
    <x:row r="488">
      <x:c r="A488" s="16" t="n">
        <x:v>40</x:v>
      </x:c>
      <x:c r="B488" s="16" t="n">
        <x:v>16</x:v>
      </x:c>
      <x:c r="C488" s="16" t="n">
        <x:v>-10</x:v>
      </x:c>
      <x:c r="D488" s="36" t="n">
        <x:v>9.9833025081481</x:v>
      </x:c>
    </x:row>
    <x:row r="489">
      <x:c r="A489" s="16" t="n">
        <x:v>40</x:v>
      </x:c>
      <x:c r="B489" s="16" t="n">
        <x:v>16</x:v>
      </x:c>
      <x:c r="C489" s="16" t="n">
        <x:v>0</x:v>
      </x:c>
      <x:c r="D489" s="36" t="n">
        <x:v>2.01216663769651</x:v>
      </x:c>
    </x:row>
    <x:row r="490">
      <x:c r="A490" s="16" t="n">
        <x:v>40</x:v>
      </x:c>
      <x:c r="B490" s="16" t="n">
        <x:v>18</x:v>
      </x:c>
      <x:c r="C490" s="16" t="n">
        <x:v>-10</x:v>
      </x:c>
      <x:c r="D490" s="36" t="n">
        <x:v>10.0482980738457</x:v>
      </x:c>
    </x:row>
    <x:row r="491">
      <x:c r="A491" s="16" t="n">
        <x:v>40</x:v>
      </x:c>
      <x:c r="B491" s="16" t="n">
        <x:v>18</x:v>
      </x:c>
      <x:c r="C491" s="16" t="n">
        <x:v>0</x:v>
      </x:c>
      <x:c r="D491" s="36" t="n">
        <x:v>5.01453055745604</x:v>
      </x:c>
    </x:row>
    <x:row r="492">
      <x:c r="A492" s="16" t="n">
        <x:v>40</x:v>
      </x:c>
      <x:c r="B492" s="16" t="n">
        <x:v>20</x:v>
      </x:c>
      <x:c r="C492" s="16" t="n">
        <x:v>-10</x:v>
      </x:c>
      <x:c r="D492" s="36" t="n">
        <x:v>9.79437256713853</x:v>
      </x:c>
    </x:row>
    <x:row r="493">
      <x:c r="A493" s="16" t="n">
        <x:v>40</x:v>
      </x:c>
      <x:c r="B493" s="16" t="n">
        <x:v>20</x:v>
      </x:c>
      <x:c r="C493" s="16" t="n">
        <x:v>0</x:v>
      </x:c>
      <x:c r="D493" s="36" t="n">
        <x:v>11.2689965868236</x:v>
      </x:c>
    </x:row>
    <x:row r="494">
      <x:c r="A494" s="16" t="n">
        <x:v>40</x:v>
      </x:c>
      <x:c r="B494" s="16" t="n">
        <x:v>22</x:v>
      </x:c>
      <x:c r="C494" s="16" t="n">
        <x:v>-10</x:v>
      </x:c>
      <x:c r="D494" s="36" t="n">
        <x:v>9.59122170386449</x:v>
      </x:c>
    </x:row>
    <x:row r="495">
      <x:c r="A495" s="16" t="n">
        <x:v>40</x:v>
      </x:c>
      <x:c r="B495" s="16" t="n">
        <x:v>22</x:v>
      </x:c>
      <x:c r="C495" s="16" t="n">
        <x:v>0</x:v>
      </x:c>
      <x:c r="D495" s="36" t="n">
        <x:v>14.2275585632969</x:v>
      </x:c>
    </x:row>
    <x:row r="496">
      <x:c r="A496" s="16" t="n">
        <x:v>40</x:v>
      </x:c>
      <x:c r="B496" s="16" t="n">
        <x:v>24</x:v>
      </x:c>
      <x:c r="C496" s="16" t="n">
        <x:v>-10</x:v>
      </x:c>
      <x:c r="D496" s="36" t="n">
        <x:v>9.0525376101087</x:v>
      </x:c>
    </x:row>
    <x:row r="497">
      <x:c r="A497" s="16" t="n">
        <x:v>40</x:v>
      </x:c>
      <x:c r="B497" s="16" t="n">
        <x:v>24</x:v>
      </x:c>
      <x:c r="C497" s="16" t="n">
        <x:v>0</x:v>
      </x:c>
      <x:c r="D497" s="36" t="n">
        <x:v>13.8980013545345</x:v>
      </x:c>
    </x:row>
    <x:row r="498">
      <x:c r="A498" s="16" t="n">
        <x:v>40</x:v>
      </x:c>
      <x:c r="B498" s="16" t="n">
        <x:v>26</x:v>
      </x:c>
      <x:c r="C498" s="16" t="n">
        <x:v>-10</x:v>
      </x:c>
      <x:c r="D498" s="36" t="n">
        <x:v>8.81499670498994</x:v>
      </x:c>
    </x:row>
    <x:row r="499">
      <x:c r="A499" s="16" t="n">
        <x:v>40</x:v>
      </x:c>
      <x:c r="B499" s="16" t="n">
        <x:v>26</x:v>
      </x:c>
      <x:c r="C499" s="16" t="n">
        <x:v>0</x:v>
      </x:c>
      <x:c r="D499" s="36" t="n">
        <x:v>13.3257662777088</x:v>
      </x:c>
    </x:row>
    <x:row r="500">
      <x:c r="A500" s="16" t="n">
        <x:v>40</x:v>
      </x:c>
      <x:c r="B500" s="16" t="n">
        <x:v>28</x:v>
      </x:c>
      <x:c r="C500" s="16" t="n">
        <x:v>-10</x:v>
      </x:c>
      <x:c r="D500" s="36" t="n">
        <x:v>9.29054800870371</x:v>
      </x:c>
    </x:row>
    <x:row r="501">
      <x:c r="A501" s="16" t="n">
        <x:v>40</x:v>
      </x:c>
      <x:c r="B501" s="16" t="n">
        <x:v>28</x:v>
      </x:c>
      <x:c r="C501" s="16" t="n">
        <x:v>0</x:v>
      </x:c>
      <x:c r="D501" s="36" t="n">
        <x:v>12.8414161884176</x:v>
      </x:c>
    </x:row>
    <x:row r="502">
      <x:c r="A502" s="16" t="n">
        <x:v>40</x:v>
      </x:c>
      <x:c r="B502" s="16" t="n">
        <x:v>30</x:v>
      </x:c>
      <x:c r="C502" s="16" t="n">
        <x:v>-10</x:v>
      </x:c>
      <x:c r="D502" s="36" t="n">
        <x:v>14.4878167017953</x:v>
      </x:c>
    </x:row>
    <x:row r="503">
      <x:c r="A503" s="16" t="n">
        <x:v>40</x:v>
      </x:c>
      <x:c r="B503" s="16" t="n">
        <x:v>30</x:v>
      </x:c>
      <x:c r="C503" s="16" t="n">
        <x:v>0</x:v>
      </x:c>
      <x:c r="D503" s="36" t="n">
        <x:v>12.7199197692322</x:v>
      </x:c>
    </x:row>
    <x:row r="504">
      <x:c r="A504" s="16" t="n">
        <x:v>40</x:v>
      </x:c>
      <x:c r="B504" s="16" t="n">
        <x:v>32</x:v>
      </x:c>
      <x:c r="C504" s="16" t="n">
        <x:v>-10</x:v>
      </x:c>
      <x:c r="D504" s="36" t="n">
        <x:v>16.3786179130598</x:v>
      </x:c>
    </x:row>
    <x:row r="505">
      <x:c r="A505" s="16" t="n">
        <x:v>40</x:v>
      </x:c>
      <x:c r="B505" s="16" t="n">
        <x:v>32</x:v>
      </x:c>
      <x:c r="C505" s="16" t="n">
        <x:v>0</x:v>
      </x:c>
      <x:c r="D505" s="36" t="n">
        <x:v>12.5451290870217</x:v>
      </x:c>
    </x:row>
    <x:row r="506">
      <x:c r="A506" s="16" t="n">
        <x:v>40</x:v>
      </x:c>
      <x:c r="B506" s="16" t="n">
        <x:v>34</x:v>
      </x:c>
      <x:c r="C506" s="16" t="n">
        <x:v>-10</x:v>
      </x:c>
      <x:c r="D506" s="36" t="n">
        <x:v>15.1417892672073</x:v>
      </x:c>
    </x:row>
    <x:row r="507">
      <x:c r="A507" s="16" t="n">
        <x:v>40</x:v>
      </x:c>
      <x:c r="B507" s="16" t="n">
        <x:v>34</x:v>
      </x:c>
      <x:c r="C507" s="16" t="n">
        <x:v>0</x:v>
      </x:c>
      <x:c r="D507" s="36" t="n">
        <x:v>12.4144061270596</x:v>
      </x:c>
    </x:row>
    <x:row r="508">
      <x:c r="A508" s="16" t="n">
        <x:v>40</x:v>
      </x:c>
      <x:c r="B508" s="16" t="n">
        <x:v>36</x:v>
      </x:c>
      <x:c r="C508" s="16" t="n">
        <x:v>-10</x:v>
      </x:c>
      <x:c r="D508" s="36" t="n">
        <x:v>14.2024027796705</x:v>
      </x:c>
    </x:row>
    <x:row r="509">
      <x:c r="A509" s="16" t="n">
        <x:v>40</x:v>
      </x:c>
      <x:c r="B509" s="16" t="n">
        <x:v>36</x:v>
      </x:c>
      <x:c r="C509" s="16" t="n">
        <x:v>0</x:v>
      </x:c>
      <x:c r="D509" s="36" t="n">
        <x:v>12.4797829941394</x:v>
      </x:c>
    </x:row>
    <x:row r="510">
      <x:c r="A510" s="16" t="n">
        <x:v>40</x:v>
      </x:c>
      <x:c r="B510" s="16" t="n">
        <x:v>38</x:v>
      </x:c>
      <x:c r="C510" s="16" t="n">
        <x:v>-10</x:v>
      </x:c>
      <x:c r="D510" s="36" t="n">
        <x:v>13.9035253025803</x:v>
      </x:c>
    </x:row>
    <x:row r="511">
      <x:c r="A511" s="16" t="n">
        <x:v>40</x:v>
      </x:c>
      <x:c r="B511" s="16" t="n">
        <x:v>38</x:v>
      </x:c>
      <x:c r="C511" s="16" t="n">
        <x:v>0</x:v>
      </x:c>
      <x:c r="D511" s="36" t="n">
        <x:v>12.3021936856234</x:v>
      </x:c>
    </x:row>
    <x:row r="512">
      <x:c r="A512" s="16" t="n">
        <x:v>40</x:v>
      </x:c>
      <x:c r="B512" s="16" t="n">
        <x:v>40</x:v>
      </x:c>
      <x:c r="C512" s="16" t="n">
        <x:v>-10</x:v>
      </x:c>
      <x:c r="D512" s="36" t="n">
        <x:v>13.6835647592859</x:v>
      </x:c>
    </x:row>
    <x:row r="513">
      <x:c r="A513" s="16" t="n">
        <x:v>40</x:v>
      </x:c>
      <x:c r="B513" s="16" t="n">
        <x:v>40</x:v>
      </x:c>
      <x:c r="C513" s="16" t="n">
        <x:v>0</x:v>
      </x:c>
      <x:c r="D513" s="36" t="n">
        <x:v>12.4139082138308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42" hidden="0" customWidth="1"/>
  </x:cols>
  <x:sheetData>
    <x:row r="1">
      <x:c r="A1" s="26" t="str">
        <x:v>lpm [mm]</x:v>
      </x:c>
      <x:c r="B1" s="26" t="str">
        <x:v>stator_lpm [mm]</x:v>
      </x:c>
      <x:c r="C1" s="26" t="str">
        <x:v>推力波动 |F(a=0)-F(a=-10)| [N]</x:v>
      </x:c>
      <x:c r="D1" s="26" t="str">
        <x:v>加权平均推力 70%*F(a=0)+30%*F(a=-10) [N]</x:v>
      </x:c>
    </x:row>
    <x:row r="2">
      <x:c r="A2" s="28" t="n">
        <x:v>10</x:v>
      </x:c>
      <x:c r="B2" s="28" t="n">
        <x:v>10</x:v>
      </x:c>
      <x:c r="C2" s="29" t="n">
        <x:f>ABS(SUMIFS('原始数据'!$D$2:$D$513,'原始数据'!$A$2:$A$513,A2,'原始数据'!$B$2:$B$513,B2,'原始数据'!$C$2:$C$513,0)-SUMIFS('原始数据'!$D$2:$D$513,'原始数据'!$A$2:$A$513,A2,'原始数据'!$B$2:$B$513,B2,'原始数据'!$C$2:$C$513,-10))</x:f>
        <x:v>5.978688981615511</x:v>
      </x:c>
      <x:c r="D2" s="29" t="n">
        <x:f>'权重'!$B$2*SUMIFS('原始数据'!$D$2:$D$513,'原始数据'!$A$2:$A$513,A2,'原始数据'!$B$2:$B$513,B2,'原始数据'!$C$2:$C$513,0)+'权重'!$B$3*SUMIFS('原始数据'!$D$2:$D$513,'原始数据'!$A$2:$A$513,A2,'原始数据'!$B$2:$B$513,B2,'原始数据'!$C$2:$C$513,-10)</x:f>
        <x:v>10.385686424265847</x:v>
      </x:c>
    </x:row>
    <x:row r="3">
      <x:c r="A3" s="28" t="n">
        <x:v>10</x:v>
      </x:c>
      <x:c r="B3" s="28" t="n">
        <x:v>12</x:v>
      </x:c>
      <x:c r="C3" s="29" t="n">
        <x:f>ABS(SUMIFS('原始数据'!$D$2:$D$513,'原始数据'!$A$2:$A$513,A3,'原始数据'!$B$2:$B$513,B3,'原始数据'!$C$2:$C$513,0)-SUMIFS('原始数据'!$D$2:$D$513,'原始数据'!$A$2:$A$513,A3,'原始数据'!$B$2:$B$513,B3,'原始数据'!$C$2:$C$513,-10))</x:f>
        <x:v>9.98547989164321</x:v>
      </x:c>
      <x:c r="D3" s="29" t="n">
        <x:f>'权重'!$B$2*SUMIFS('原始数据'!$D$2:$D$513,'原始数据'!$A$2:$A$513,A3,'原始数据'!$B$2:$B$513,B3,'原始数据'!$C$2:$C$513,0)+'权重'!$B$3*SUMIFS('原始数据'!$D$2:$D$513,'原始数据'!$A$2:$A$513,A3,'原始数据'!$B$2:$B$513,B3,'原始数据'!$C$2:$C$513,-10)</x:f>
        <x:v>9.046573031759037</x:v>
      </x:c>
    </x:row>
    <x:row r="4">
      <x:c r="A4" s="28" t="n">
        <x:v>10</x:v>
      </x:c>
      <x:c r="B4" s="28" t="n">
        <x:v>14</x:v>
      </x:c>
      <x:c r="C4" s="29" t="n">
        <x:f>ABS(SUMIFS('原始数据'!$D$2:$D$513,'原始数据'!$A$2:$A$513,A4,'原始数据'!$B$2:$B$513,B4,'原始数据'!$C$2:$C$513,0)-SUMIFS('原始数据'!$D$2:$D$513,'原始数据'!$A$2:$A$513,A4,'原始数据'!$B$2:$B$513,B4,'原始数据'!$C$2:$C$513,-10))</x:f>
        <x:v>13.53229025716138</x:v>
      </x:c>
      <x:c r="D4" s="29" t="n">
        <x:f>'权重'!$B$2*SUMIFS('原始数据'!$D$2:$D$513,'原始数据'!$A$2:$A$513,A4,'原始数据'!$B$2:$B$513,B4,'原始数据'!$C$2:$C$513,0)+'权重'!$B$3*SUMIFS('原始数据'!$D$2:$D$513,'原始数据'!$A$2:$A$513,A4,'原始数据'!$B$2:$B$513,B4,'原始数据'!$C$2:$C$513,-10)</x:f>
        <x:v>7.964318931285385</x:v>
      </x:c>
    </x:row>
    <x:row r="5">
      <x:c r="A5" s="28" t="n">
        <x:v>10</x:v>
      </x:c>
      <x:c r="B5" s="28" t="n">
        <x:v>16</x:v>
      </x:c>
      <x:c r="C5" s="29" t="n">
        <x:f>ABS(SUMIFS('原始数据'!$D$2:$D$513,'原始数据'!$A$2:$A$513,A5,'原始数据'!$B$2:$B$513,B5,'原始数据'!$C$2:$C$513,0)-SUMIFS('原始数据'!$D$2:$D$513,'原始数据'!$A$2:$A$513,A5,'原始数据'!$B$2:$B$513,B5,'原始数据'!$C$2:$C$513,-10))</x:f>
        <x:v>12.820284108228353</x:v>
      </x:c>
      <x:c r="D5" s="29" t="n">
        <x:f>'权重'!$B$2*SUMIFS('原始数据'!$D$2:$D$513,'原始数据'!$A$2:$A$513,A5,'原始数据'!$B$2:$B$513,B5,'原始数据'!$C$2:$C$513,0)+'权重'!$B$3*SUMIFS('原始数据'!$D$2:$D$513,'原始数据'!$A$2:$A$513,A5,'原始数据'!$B$2:$B$513,B5,'原始数据'!$C$2:$C$513,-10)</x:f>
        <x:v>8.180625824535495</x:v>
      </x:c>
    </x:row>
    <x:row r="6">
      <x:c r="A6" s="28" t="n">
        <x:v>10</x:v>
      </x:c>
      <x:c r="B6" s="28" t="n">
        <x:v>18</x:v>
      </x:c>
      <x:c r="C6" s="29" t="n">
        <x:f>ABS(SUMIFS('原始数据'!$D$2:$D$513,'原始数据'!$A$2:$A$513,A6,'原始数据'!$B$2:$B$513,B6,'原始数据'!$C$2:$C$513,0)-SUMIFS('原始数据'!$D$2:$D$513,'原始数据'!$A$2:$A$513,A6,'原始数据'!$B$2:$B$513,B6,'原始数据'!$C$2:$C$513,-10))</x:f>
        <x:v>13.10449567868309</x:v>
      </x:c>
      <x:c r="D6" s="29" t="n">
        <x:f>'权重'!$B$2*SUMIFS('原始数据'!$D$2:$D$513,'原始数据'!$A$2:$A$513,A6,'原始数据'!$B$2:$B$513,B6,'原始数据'!$C$2:$C$513,0)+'权重'!$B$3*SUMIFS('原始数据'!$D$2:$D$513,'原始数据'!$A$2:$A$513,A6,'原始数据'!$B$2:$B$513,B6,'原始数据'!$C$2:$C$513,-10)</x:f>
        <x:v>8.08713788395517</x:v>
      </x:c>
    </x:row>
    <x:row r="7">
      <x:c r="A7" s="28" t="n">
        <x:v>10</x:v>
      </x:c>
      <x:c r="B7" s="28" t="n">
        <x:v>20</x:v>
      </x:c>
      <x:c r="C7" s="29" t="n">
        <x:f>ABS(SUMIFS('原始数据'!$D$2:$D$513,'原始数据'!$A$2:$A$513,A7,'原始数据'!$B$2:$B$513,B7,'原始数据'!$C$2:$C$513,0)-SUMIFS('原始数据'!$D$2:$D$513,'原始数据'!$A$2:$A$513,A7,'原始数据'!$B$2:$B$513,B7,'原始数据'!$C$2:$C$513,-10))</x:f>
        <x:v>13.20555897939399</x:v>
      </x:c>
      <x:c r="D7" s="29" t="n">
        <x:f>'权重'!$B$2*SUMIFS('原始数据'!$D$2:$D$513,'原始数据'!$A$2:$A$513,A7,'原始数据'!$B$2:$B$513,B7,'原始数据'!$C$2:$C$513,0)+'权重'!$B$3*SUMIFS('原始数据'!$D$2:$D$513,'原始数据'!$A$2:$A$513,A7,'原始数据'!$B$2:$B$513,B7,'原始数据'!$C$2:$C$513,-10)</x:f>
        <x:v>8.031421863793602</x:v>
      </x:c>
    </x:row>
    <x:row r="8">
      <x:c r="A8" s="28" t="n">
        <x:v>10</x:v>
      </x:c>
      <x:c r="B8" s="28" t="n">
        <x:v>22</x:v>
      </x:c>
      <x:c r="C8" s="29" t="n">
        <x:f>ABS(SUMIFS('原始数据'!$D$2:$D$513,'原始数据'!$A$2:$A$513,A8,'原始数据'!$B$2:$B$513,B8,'原始数据'!$C$2:$C$513,0)-SUMIFS('原始数据'!$D$2:$D$513,'原始数据'!$A$2:$A$513,A8,'原始数据'!$B$2:$B$513,B8,'原始数据'!$C$2:$C$513,-10))</x:f>
        <x:v>13.16059331885361</x:v>
      </x:c>
      <x:c r="D8" s="29" t="n">
        <x:f>'权重'!$B$2*SUMIFS('原始数据'!$D$2:$D$513,'原始数据'!$A$2:$A$513,A8,'原始数据'!$B$2:$B$513,B8,'原始数据'!$C$2:$C$513,0)+'权重'!$B$3*SUMIFS('原始数据'!$D$2:$D$513,'原始数据'!$A$2:$A$513,A8,'原始数据'!$B$2:$B$513,B8,'原始数据'!$C$2:$C$513,-10)</x:f>
        <x:v>8.088816934098515</x:v>
      </x:c>
    </x:row>
    <x:row r="9">
      <x:c r="A9" s="28" t="n">
        <x:v>10</x:v>
      </x:c>
      <x:c r="B9" s="28" t="n">
        <x:v>24</x:v>
      </x:c>
      <x:c r="C9" s="29" t="n">
        <x:f>ABS(SUMIFS('原始数据'!$D$2:$D$513,'原始数据'!$A$2:$A$513,A9,'原始数据'!$B$2:$B$513,B9,'原始数据'!$C$2:$C$513,0)-SUMIFS('原始数据'!$D$2:$D$513,'原始数据'!$A$2:$A$513,A9,'原始数据'!$B$2:$B$513,B9,'原始数据'!$C$2:$C$513,-10))</x:f>
        <x:v>13.06826241055658</x:v>
      </x:c>
      <x:c r="D9" s="29" t="n">
        <x:f>'权重'!$B$2*SUMIFS('原始数据'!$D$2:$D$513,'原始数据'!$A$2:$A$513,A9,'原始数据'!$B$2:$B$513,B9,'原始数据'!$C$2:$C$513,0)+'权重'!$B$3*SUMIFS('原始数据'!$D$2:$D$513,'原始数据'!$A$2:$A$513,A9,'原始数据'!$B$2:$B$513,B9,'原始数据'!$C$2:$C$513,-10)</x:f>
        <x:v>8.114904502202625</x:v>
      </x:c>
    </x:row>
    <x:row r="10">
      <x:c r="A10" s="28" t="n">
        <x:v>10</x:v>
      </x:c>
      <x:c r="B10" s="28" t="n">
        <x:v>26</x:v>
      </x:c>
      <x:c r="C10" s="29" t="n">
        <x:f>ABS(SUMIFS('原始数据'!$D$2:$D$513,'原始数据'!$A$2:$A$513,A10,'原始数据'!$B$2:$B$513,B10,'原始数据'!$C$2:$C$513,0)-SUMIFS('原始数据'!$D$2:$D$513,'原始数据'!$A$2:$A$513,A10,'原始数据'!$B$2:$B$513,B10,'原始数据'!$C$2:$C$513,-10))</x:f>
        <x:v>13.008918106187346</x:v>
      </x:c>
      <x:c r="D10" s="29" t="n">
        <x:f>'权重'!$B$2*SUMIFS('原始数据'!$D$2:$D$513,'原始数据'!$A$2:$A$513,A10,'原始数据'!$B$2:$B$513,B10,'原始数据'!$C$2:$C$513,0)+'权重'!$B$3*SUMIFS('原始数据'!$D$2:$D$513,'原始数据'!$A$2:$A$513,A10,'原始数据'!$B$2:$B$513,B10,'原始数据'!$C$2:$C$513,-10)</x:f>
        <x:v>8.177316620922596</x:v>
      </x:c>
    </x:row>
    <x:row r="11">
      <x:c r="A11" s="28" t="n">
        <x:v>10</x:v>
      </x:c>
      <x:c r="B11" s="28" t="n">
        <x:v>28</x:v>
      </x:c>
      <x:c r="C11" s="29" t="n">
        <x:f>ABS(SUMIFS('原始数据'!$D$2:$D$513,'原始数据'!$A$2:$A$513,A11,'原始数据'!$B$2:$B$513,B11,'原始数据'!$C$2:$C$513,0)-SUMIFS('原始数据'!$D$2:$D$513,'原始数据'!$A$2:$A$513,A11,'原始数据'!$B$2:$B$513,B11,'原始数据'!$C$2:$C$513,-10))</x:f>
        <x:v>11.782109141810183</x:v>
      </x:c>
      <x:c r="D11" s="29" t="n">
        <x:f>'权重'!$B$2*SUMIFS('原始数据'!$D$2:$D$513,'原始数据'!$A$2:$A$513,A11,'原始数据'!$B$2:$B$513,B11,'原始数据'!$C$2:$C$513,0)+'权重'!$B$3*SUMIFS('原始数据'!$D$2:$D$513,'原始数据'!$A$2:$A$513,A11,'原始数据'!$B$2:$B$513,B11,'原始数据'!$C$2:$C$513,-10)</x:f>
        <x:v>8.583803294406245</x:v>
      </x:c>
    </x:row>
    <x:row r="12">
      <x:c r="A12" s="28" t="n">
        <x:v>10</x:v>
      </x:c>
      <x:c r="B12" s="28" t="n">
        <x:v>30</x:v>
      </x:c>
      <x:c r="C12" s="29" t="n">
        <x:f>ABS(SUMIFS('原始数据'!$D$2:$D$513,'原始数据'!$A$2:$A$513,A12,'原始数据'!$B$2:$B$513,B12,'原始数据'!$C$2:$C$513,0)-SUMIFS('原始数据'!$D$2:$D$513,'原始数据'!$A$2:$A$513,A12,'原始数据'!$B$2:$B$513,B12,'原始数据'!$C$2:$C$513,-10))</x:f>
        <x:v>10.722744824234029</x:v>
      </x:c>
      <x:c r="D12" s="29" t="n">
        <x:f>'权重'!$B$2*SUMIFS('原始数据'!$D$2:$D$513,'原始数据'!$A$2:$A$513,A12,'原始数据'!$B$2:$B$513,B12,'原始数据'!$C$2:$C$513,0)+'权重'!$B$3*SUMIFS('原始数据'!$D$2:$D$513,'原始数据'!$A$2:$A$513,A12,'原始数据'!$B$2:$B$513,B12,'原始数据'!$C$2:$C$513,-10)</x:f>
        <x:v>8.987913770713591</x:v>
      </x:c>
    </x:row>
    <x:row r="13">
      <x:c r="A13" s="28" t="n">
        <x:v>10</x:v>
      </x:c>
      <x:c r="B13" s="28" t="n">
        <x:v>32</x:v>
      </x:c>
      <x:c r="C13" s="29" t="n">
        <x:f>ABS(SUMIFS('原始数据'!$D$2:$D$513,'原始数据'!$A$2:$A$513,A13,'原始数据'!$B$2:$B$513,B13,'原始数据'!$C$2:$C$513,0)-SUMIFS('原始数据'!$D$2:$D$513,'原始数据'!$A$2:$A$513,A13,'原始数据'!$B$2:$B$513,B13,'原始数据'!$C$2:$C$513,-10))</x:f>
        <x:v>10.10547187530377</x:v>
      </x:c>
      <x:c r="D13" s="29" t="n">
        <x:f>'权重'!$B$2*SUMIFS('原始数据'!$D$2:$D$513,'原始数据'!$A$2:$A$513,A13,'原始数据'!$B$2:$B$513,B13,'原始数据'!$C$2:$C$513,0)+'权重'!$B$3*SUMIFS('原始数据'!$D$2:$D$513,'原始数据'!$A$2:$A$513,A13,'原始数据'!$B$2:$B$513,B13,'原始数据'!$C$2:$C$513,-10)</x:f>
        <x:v>9.277650174279568</x:v>
      </x:c>
    </x:row>
    <x:row r="14">
      <x:c r="A14" s="28" t="n">
        <x:v>10</x:v>
      </x:c>
      <x:c r="B14" s="28" t="n">
        <x:v>34</x:v>
      </x:c>
      <x:c r="C14" s="29" t="n">
        <x:f>ABS(SUMIFS('原始数据'!$D$2:$D$513,'原始数据'!$A$2:$A$513,A14,'原始数据'!$B$2:$B$513,B14,'原始数据'!$C$2:$C$513,0)-SUMIFS('原始数据'!$D$2:$D$513,'原始数据'!$A$2:$A$513,A14,'原始数据'!$B$2:$B$513,B14,'原始数据'!$C$2:$C$513,-10))</x:f>
        <x:v>9.20372170918488</x:v>
      </x:c>
      <x:c r="D14" s="29" t="n">
        <x:f>'权重'!$B$2*SUMIFS('原始数据'!$D$2:$D$513,'原始数据'!$A$2:$A$513,A14,'原始数据'!$B$2:$B$513,B14,'原始数据'!$C$2:$C$513,0)+'权重'!$B$3*SUMIFS('原始数据'!$D$2:$D$513,'原始数据'!$A$2:$A$513,A14,'原始数据'!$B$2:$B$513,B14,'原始数据'!$C$2:$C$513,-10)</x:f>
        <x:v>9.156827622190034</x:v>
      </x:c>
    </x:row>
    <x:row r="15">
      <x:c r="A15" s="28" t="n">
        <x:v>10</x:v>
      </x:c>
      <x:c r="B15" s="28" t="n">
        <x:v>36</x:v>
      </x:c>
      <x:c r="C15" s="29" t="n">
        <x:f>ABS(SUMIFS('原始数据'!$D$2:$D$513,'原始数据'!$A$2:$A$513,A15,'原始数据'!$B$2:$B$513,B15,'原始数据'!$C$2:$C$513,0)-SUMIFS('原始数据'!$D$2:$D$513,'原始数据'!$A$2:$A$513,A15,'原始数据'!$B$2:$B$513,B15,'原始数据'!$C$2:$C$513,-10))</x:f>
        <x:v>5.779073313351921</x:v>
      </x:c>
      <x:c r="D15" s="29" t="n">
        <x:f>'权重'!$B$2*SUMIFS('原始数据'!$D$2:$D$513,'原始数据'!$A$2:$A$513,A15,'原始数据'!$B$2:$B$513,B15,'原始数据'!$C$2:$C$513,0)+'权重'!$B$3*SUMIFS('原始数据'!$D$2:$D$513,'原始数据'!$A$2:$A$513,A15,'原始数据'!$B$2:$B$513,B15,'原始数据'!$C$2:$C$513,-10)</x:f>
        <x:v>7.083291788054264</x:v>
      </x:c>
    </x:row>
    <x:row r="16">
      <x:c r="A16" s="28" t="n">
        <x:v>10</x:v>
      </x:c>
      <x:c r="B16" s="28" t="n">
        <x:v>38</x:v>
      </x:c>
      <x:c r="C16" s="29" t="n">
        <x:f>ABS(SUMIFS('原始数据'!$D$2:$D$513,'原始数据'!$A$2:$A$513,A16,'原始数据'!$B$2:$B$513,B16,'原始数据'!$C$2:$C$513,0)-SUMIFS('原始数据'!$D$2:$D$513,'原始数据'!$A$2:$A$513,A16,'原始数据'!$B$2:$B$513,B16,'原始数据'!$C$2:$C$513,-10))</x:f>
        <x:v>2.3512479657320604</x:v>
      </x:c>
      <x:c r="D16" s="29" t="n">
        <x:f>'权重'!$B$2*SUMIFS('原始数据'!$D$2:$D$513,'原始数据'!$A$2:$A$513,A16,'原始数据'!$B$2:$B$513,B16,'原始数据'!$C$2:$C$513,0)+'权重'!$B$3*SUMIFS('原始数据'!$D$2:$D$513,'原始数据'!$A$2:$A$513,A16,'原始数据'!$B$2:$B$513,B16,'原始数据'!$C$2:$C$513,-10)</x:f>
        <x:v>4.878104640950622</x:v>
      </x:c>
    </x:row>
    <x:row r="17">
      <x:c r="A17" s="28" t="n">
        <x:v>10</x:v>
      </x:c>
      <x:c r="B17" s="28" t="n">
        <x:v>40</x:v>
      </x:c>
      <x:c r="C17" s="29" t="n">
        <x:f>ABS(SUMIFS('原始数据'!$D$2:$D$513,'原始数据'!$A$2:$A$513,A17,'原始数据'!$B$2:$B$513,B17,'原始数据'!$C$2:$C$513,0)-SUMIFS('原始数据'!$D$2:$D$513,'原始数据'!$A$2:$A$513,A17,'原始数据'!$B$2:$B$513,B17,'原始数据'!$C$2:$C$513,-10))</x:f>
        <x:v>0.17803987720128012</x:v>
      </x:c>
      <x:c r="D17" s="29" t="n">
        <x:f>'权重'!$B$2*SUMIFS('原始数据'!$D$2:$D$513,'原始数据'!$A$2:$A$513,A17,'原始数据'!$B$2:$B$513,B17,'原始数据'!$C$2:$C$513,0)+'权重'!$B$3*SUMIFS('原始数据'!$D$2:$D$513,'原始数据'!$A$2:$A$513,A17,'原始数据'!$B$2:$B$513,B17,'原始数据'!$C$2:$C$513,-10)</x:f>
        <x:v>3.3812267041463757</x:v>
      </x:c>
    </x:row>
    <x:row r="18">
      <x:c r="A18" s="28" t="n">
        <x:v>12</x:v>
      </x:c>
      <x:c r="B18" s="28" t="n">
        <x:v>10</x:v>
      </x:c>
      <x:c r="C18" s="29" t="n">
        <x:f>ABS(SUMIFS('原始数据'!$D$2:$D$513,'原始数据'!$A$2:$A$513,A18,'原始数据'!$B$2:$B$513,B18,'原始数据'!$C$2:$C$513,0)-SUMIFS('原始数据'!$D$2:$D$513,'原始数据'!$A$2:$A$513,A18,'原始数据'!$B$2:$B$513,B18,'原始数据'!$C$2:$C$513,-10))</x:f>
        <x:v>6.15286078855621</x:v>
      </x:c>
      <x:c r="D18" s="29" t="n">
        <x:f>'权重'!$B$2*SUMIFS('原始数据'!$D$2:$D$513,'原始数据'!$A$2:$A$513,A18,'原始数据'!$B$2:$B$513,B18,'原始数据'!$C$2:$C$513,0)+'权重'!$B$3*SUMIFS('原始数据'!$D$2:$D$513,'原始数据'!$A$2:$A$513,A18,'原始数据'!$B$2:$B$513,B18,'原始数据'!$C$2:$C$513,-10)</x:f>
        <x:v>11.076181915699436</x:v>
      </x:c>
    </x:row>
    <x:row r="19">
      <x:c r="A19" s="28" t="n">
        <x:v>12</x:v>
      </x:c>
      <x:c r="B19" s="28" t="n">
        <x:v>12</x:v>
      </x:c>
      <x:c r="C19" s="29" t="n">
        <x:f>ABS(SUMIFS('原始数据'!$D$2:$D$513,'原始数据'!$A$2:$A$513,A19,'原始数据'!$B$2:$B$513,B19,'原始数据'!$C$2:$C$513,0)-SUMIFS('原始数据'!$D$2:$D$513,'原始数据'!$A$2:$A$513,A19,'原始数据'!$B$2:$B$513,B19,'原始数据'!$C$2:$C$513,-10))</x:f>
        <x:v>9.61755599444542</x:v>
      </x:c>
      <x:c r="D19" s="29" t="n">
        <x:f>'权重'!$B$2*SUMIFS('原始数据'!$D$2:$D$513,'原始数据'!$A$2:$A$513,A19,'原始数据'!$B$2:$B$513,B19,'原始数据'!$C$2:$C$513,0)+'权重'!$B$3*SUMIFS('原始数据'!$D$2:$D$513,'原始数据'!$A$2:$A$513,A19,'原始数据'!$B$2:$B$513,B19,'原始数据'!$C$2:$C$513,-10)</x:f>
        <x:v>9.813998466876473</x:v>
      </x:c>
    </x:row>
    <x:row r="20">
      <x:c r="A20" s="28" t="n">
        <x:v>12</x:v>
      </x:c>
      <x:c r="B20" s="28" t="n">
        <x:v>14</x:v>
      </x:c>
      <x:c r="C20" s="29" t="n">
        <x:f>ABS(SUMIFS('原始数据'!$D$2:$D$513,'原始数据'!$A$2:$A$513,A20,'原始数据'!$B$2:$B$513,B20,'原始数据'!$C$2:$C$513,0)-SUMIFS('原始数据'!$D$2:$D$513,'原始数据'!$A$2:$A$513,A20,'原始数据'!$B$2:$B$513,B20,'原始数据'!$C$2:$C$513,-10))</x:f>
        <x:v>13.601575588046769</x:v>
      </x:c>
      <x:c r="D20" s="29" t="n">
        <x:f>'权重'!$B$2*SUMIFS('原始数据'!$D$2:$D$513,'原始数据'!$A$2:$A$513,A20,'原始数据'!$B$2:$B$513,B20,'原始数据'!$C$2:$C$513,0)+'权重'!$B$3*SUMIFS('原始数据'!$D$2:$D$513,'原始数据'!$A$2:$A$513,A20,'原始数据'!$B$2:$B$513,B20,'原始数据'!$C$2:$C$513,-10)</x:f>
        <x:v>8.494117018940667</x:v>
      </x:c>
    </x:row>
    <x:row r="21">
      <x:c r="A21" s="28" t="n">
        <x:v>12</x:v>
      </x:c>
      <x:c r="B21" s="28" t="n">
        <x:v>16</x:v>
      </x:c>
      <x:c r="C21" s="29" t="n">
        <x:f>ABS(SUMIFS('原始数据'!$D$2:$D$513,'原始数据'!$A$2:$A$513,A21,'原始数据'!$B$2:$B$513,B21,'原始数据'!$C$2:$C$513,0)-SUMIFS('原始数据'!$D$2:$D$513,'原始数据'!$A$2:$A$513,A21,'原始数据'!$B$2:$B$513,B21,'原始数据'!$C$2:$C$513,-10))</x:f>
        <x:v>13.966956721886401</x:v>
      </x:c>
      <x:c r="D21" s="29" t="n">
        <x:f>'权重'!$B$2*SUMIFS('原始数据'!$D$2:$D$513,'原始数据'!$A$2:$A$513,A21,'原始数据'!$B$2:$B$513,B21,'原始数据'!$C$2:$C$513,0)+'权重'!$B$3*SUMIFS('原始数据'!$D$2:$D$513,'原始数据'!$A$2:$A$513,A21,'原始数据'!$B$2:$B$513,B21,'原始数据'!$C$2:$C$513,-10)</x:f>
        <x:v>8.29455754888858</x:v>
      </x:c>
    </x:row>
    <x:row r="22">
      <x:c r="A22" s="28" t="n">
        <x:v>12</x:v>
      </x:c>
      <x:c r="B22" s="28" t="n">
        <x:v>18</x:v>
      </x:c>
      <x:c r="C22" s="29" t="n">
        <x:f>ABS(SUMIFS('原始数据'!$D$2:$D$513,'原始数据'!$A$2:$A$513,A22,'原始数据'!$B$2:$B$513,B22,'原始数据'!$C$2:$C$513,0)-SUMIFS('原始数据'!$D$2:$D$513,'原始数据'!$A$2:$A$513,A22,'原始数据'!$B$2:$B$513,B22,'原始数据'!$C$2:$C$513,-10))</x:f>
        <x:v>13.606294461232698</x:v>
      </x:c>
      <x:c r="D22" s="29" t="n">
        <x:f>'权重'!$B$2*SUMIFS('原始数据'!$D$2:$D$513,'原始数据'!$A$2:$A$513,A22,'原始数据'!$B$2:$B$513,B22,'原始数据'!$C$2:$C$513,0)+'权重'!$B$3*SUMIFS('原始数据'!$D$2:$D$513,'原始数据'!$A$2:$A$513,A22,'原始数据'!$B$2:$B$513,B22,'原始数据'!$C$2:$C$513,-10)</x:f>
        <x:v>8.361994756626688</x:v>
      </x:c>
    </x:row>
    <x:row r="23">
      <x:c r="A23" s="28" t="n">
        <x:v>12</x:v>
      </x:c>
      <x:c r="B23" s="28" t="n">
        <x:v>20</x:v>
      </x:c>
      <x:c r="C23" s="29" t="n">
        <x:f>ABS(SUMIFS('原始数据'!$D$2:$D$513,'原始数据'!$A$2:$A$513,A23,'原始数据'!$B$2:$B$513,B23,'原始数据'!$C$2:$C$513,0)-SUMIFS('原始数据'!$D$2:$D$513,'原始数据'!$A$2:$A$513,A23,'原始数据'!$B$2:$B$513,B23,'原始数据'!$C$2:$C$513,-10))</x:f>
        <x:v>13.74820571060568</x:v>
      </x:c>
      <x:c r="D23" s="29" t="n">
        <x:f>'权重'!$B$2*SUMIFS('原始数据'!$D$2:$D$513,'原始数据'!$A$2:$A$513,A23,'原始数据'!$B$2:$B$513,B23,'原始数据'!$C$2:$C$513,0)+'权重'!$B$3*SUMIFS('原始数据'!$D$2:$D$513,'原始数据'!$A$2:$A$513,A23,'原始数据'!$B$2:$B$513,B23,'原始数据'!$C$2:$C$513,-10)</x:f>
        <x:v>8.256963703667296</x:v>
      </x:c>
    </x:row>
    <x:row r="24">
      <x:c r="A24" s="28" t="n">
        <x:v>12</x:v>
      </x:c>
      <x:c r="B24" s="28" t="n">
        <x:v>22</x:v>
      </x:c>
      <x:c r="C24" s="29" t="n">
        <x:f>ABS(SUMIFS('原始数据'!$D$2:$D$513,'原始数据'!$A$2:$A$513,A24,'原始数据'!$B$2:$B$513,B24,'原始数据'!$C$2:$C$513,0)-SUMIFS('原始数据'!$D$2:$D$513,'原始数据'!$A$2:$A$513,A24,'原始数据'!$B$2:$B$513,B24,'原始数据'!$C$2:$C$513,-10))</x:f>
        <x:v>13.89825986428724</x:v>
      </x:c>
      <x:c r="D24" s="29" t="n">
        <x:f>'权重'!$B$2*SUMIFS('原始数据'!$D$2:$D$513,'原始数据'!$A$2:$A$513,A24,'原始数据'!$B$2:$B$513,B24,'原始数据'!$C$2:$C$513,0)+'权重'!$B$3*SUMIFS('原始数据'!$D$2:$D$513,'原始数据'!$A$2:$A$513,A24,'原始数据'!$B$2:$B$513,B24,'原始数据'!$C$2:$C$513,-10)</x:f>
        <x:v>8.251698246934227</x:v>
      </x:c>
    </x:row>
    <x:row r="25">
      <x:c r="A25" s="28" t="n">
        <x:v>12</x:v>
      </x:c>
      <x:c r="B25" s="28" t="n">
        <x:v>24</x:v>
      </x:c>
      <x:c r="C25" s="29" t="n">
        <x:f>ABS(SUMIFS('原始数据'!$D$2:$D$513,'原始数据'!$A$2:$A$513,A25,'原始数据'!$B$2:$B$513,B25,'原始数据'!$C$2:$C$513,0)-SUMIFS('原始数据'!$D$2:$D$513,'原始数据'!$A$2:$A$513,A25,'原始数据'!$B$2:$B$513,B25,'原始数据'!$C$2:$C$513,-10))</x:f>
        <x:v>13.82045662636793</x:v>
      </x:c>
      <x:c r="D25" s="29" t="n">
        <x:f>'权重'!$B$2*SUMIFS('原始数据'!$D$2:$D$513,'原始数据'!$A$2:$A$513,A25,'原始数据'!$B$2:$B$513,B25,'原始数据'!$C$2:$C$513,0)+'权重'!$B$3*SUMIFS('原始数据'!$D$2:$D$513,'原始数据'!$A$2:$A$513,A25,'原始数据'!$B$2:$B$513,B25,'原始数据'!$C$2:$C$513,-10)</x:f>
        <x:v>8.28860756769712</x:v>
      </x:c>
    </x:row>
    <x:row r="26">
      <x:c r="A26" s="28" t="n">
        <x:v>12</x:v>
      </x:c>
      <x:c r="B26" s="28" t="n">
        <x:v>26</x:v>
      </x:c>
      <x:c r="C26" s="29" t="n">
        <x:f>ABS(SUMIFS('原始数据'!$D$2:$D$513,'原始数据'!$A$2:$A$513,A26,'原始数据'!$B$2:$B$513,B26,'原始数据'!$C$2:$C$513,0)-SUMIFS('原始数据'!$D$2:$D$513,'原始数据'!$A$2:$A$513,A26,'原始数据'!$B$2:$B$513,B26,'原始数据'!$C$2:$C$513,-10))</x:f>
        <x:v>13.90543764088317</x:v>
      </x:c>
      <x:c r="D26" s="29" t="n">
        <x:f>'权重'!$B$2*SUMIFS('原始数据'!$D$2:$D$513,'原始数据'!$A$2:$A$513,A26,'原始数据'!$B$2:$B$513,B26,'原始数据'!$C$2:$C$513,0)+'权重'!$B$3*SUMIFS('原始数据'!$D$2:$D$513,'原始数据'!$A$2:$A$513,A26,'原始数据'!$B$2:$B$513,B26,'原始数据'!$C$2:$C$513,-10)</x:f>
        <x:v>8.262433217143348</x:v>
      </x:c>
    </x:row>
    <x:row r="27">
      <x:c r="A27" s="28" t="n">
        <x:v>12</x:v>
      </x:c>
      <x:c r="B27" s="28" t="n">
        <x:v>28</x:v>
      </x:c>
      <x:c r="C27" s="29" t="n">
        <x:f>ABS(SUMIFS('原始数据'!$D$2:$D$513,'原始数据'!$A$2:$A$513,A27,'原始数据'!$B$2:$B$513,B27,'原始数据'!$C$2:$C$513,0)-SUMIFS('原始数据'!$D$2:$D$513,'原始数据'!$A$2:$A$513,A27,'原始数据'!$B$2:$B$513,B27,'原始数据'!$C$2:$C$513,-10))</x:f>
        <x:v>13.179014191308022</x:v>
      </x:c>
      <x:c r="D27" s="29" t="n">
        <x:f>'权重'!$B$2*SUMIFS('原始数据'!$D$2:$D$513,'原始数据'!$A$2:$A$513,A27,'原始数据'!$B$2:$B$513,B27,'原始数据'!$C$2:$C$513,0)+'权重'!$B$3*SUMIFS('原始数据'!$D$2:$D$513,'原始数据'!$A$2:$A$513,A27,'原始数据'!$B$2:$B$513,B27,'原始数据'!$C$2:$C$513,-10)</x:f>
        <x:v>8.525346983362693</x:v>
      </x:c>
    </x:row>
    <x:row r="28">
      <x:c r="A28" s="28" t="n">
        <x:v>12</x:v>
      </x:c>
      <x:c r="B28" s="28" t="n">
        <x:v>30</x:v>
      </x:c>
      <x:c r="C28" s="29" t="n">
        <x:f>ABS(SUMIFS('原始数据'!$D$2:$D$513,'原始数据'!$A$2:$A$513,A28,'原始数据'!$B$2:$B$513,B28,'原始数据'!$C$2:$C$513,0)-SUMIFS('原始数据'!$D$2:$D$513,'原始数据'!$A$2:$A$513,A28,'原始数据'!$B$2:$B$513,B28,'原始数据'!$C$2:$C$513,-10))</x:f>
        <x:v>12.024494185308043</x:v>
      </x:c>
      <x:c r="D28" s="29" t="n">
        <x:f>'权重'!$B$2*SUMIFS('原始数据'!$D$2:$D$513,'原始数据'!$A$2:$A$513,A28,'原始数据'!$B$2:$B$513,B28,'原始数据'!$C$2:$C$513,0)+'权重'!$B$3*SUMIFS('原始数据'!$D$2:$D$513,'原始数据'!$A$2:$A$513,A28,'原始数据'!$B$2:$B$513,B28,'原始数据'!$C$2:$C$513,-10)</x:f>
        <x:v>8.935656868779086</x:v>
      </x:c>
    </x:row>
    <x:row r="29">
      <x:c r="A29" s="28" t="n">
        <x:v>12</x:v>
      </x:c>
      <x:c r="B29" s="28" t="n">
        <x:v>32</x:v>
      </x:c>
      <x:c r="C29" s="29" t="n">
        <x:f>ABS(SUMIFS('原始数据'!$D$2:$D$513,'原始数据'!$A$2:$A$513,A29,'原始数据'!$B$2:$B$513,B29,'原始数据'!$C$2:$C$513,0)-SUMIFS('原始数据'!$D$2:$D$513,'原始数据'!$A$2:$A$513,A29,'原始数据'!$B$2:$B$513,B29,'原始数据'!$C$2:$C$513,-10))</x:f>
        <x:v>11.2085514807929</x:v>
      </x:c>
      <x:c r="D29" s="29" t="n">
        <x:f>'权重'!$B$2*SUMIFS('原始数据'!$D$2:$D$513,'原始数据'!$A$2:$A$513,A29,'原始数据'!$B$2:$B$513,B29,'原始数据'!$C$2:$C$513,0)+'权重'!$B$3*SUMIFS('原始数据'!$D$2:$D$513,'原始数据'!$A$2:$A$513,A29,'原始数据'!$B$2:$B$513,B29,'原始数据'!$C$2:$C$513,-10)</x:f>
        <x:v>9.264209618790629</x:v>
      </x:c>
    </x:row>
    <x:row r="30">
      <x:c r="A30" s="28" t="n">
        <x:v>12</x:v>
      </x:c>
      <x:c r="B30" s="28" t="n">
        <x:v>34</x:v>
      </x:c>
      <x:c r="C30" s="29" t="n">
        <x:f>ABS(SUMIFS('原始数据'!$D$2:$D$513,'原始数据'!$A$2:$A$513,A30,'原始数据'!$B$2:$B$513,B30,'原始数据'!$C$2:$C$513,0)-SUMIFS('原始数据'!$D$2:$D$513,'原始数据'!$A$2:$A$513,A30,'原始数据'!$B$2:$B$513,B30,'原始数据'!$C$2:$C$513,-10))</x:f>
        <x:v>10.597867576791899</x:v>
      </x:c>
      <x:c r="D30" s="29" t="n">
        <x:f>'权重'!$B$2*SUMIFS('原始数据'!$D$2:$D$513,'原始数据'!$A$2:$A$513,A30,'原始数据'!$B$2:$B$513,B30,'原始数据'!$C$2:$C$513,0)+'权重'!$B$3*SUMIFS('原始数据'!$D$2:$D$513,'原始数据'!$A$2:$A$513,A30,'原始数据'!$B$2:$B$513,B30,'原始数据'!$C$2:$C$513,-10)</x:f>
        <x:v>9.429653312806229</x:v>
      </x:c>
    </x:row>
    <x:row r="31">
      <x:c r="A31" s="28" t="n">
        <x:v>12</x:v>
      </x:c>
      <x:c r="B31" s="28" t="n">
        <x:v>36</x:v>
      </x:c>
      <x:c r="C31" s="29" t="n">
        <x:f>ABS(SUMIFS('原始数据'!$D$2:$D$513,'原始数据'!$A$2:$A$513,A31,'原始数据'!$B$2:$B$513,B31,'原始数据'!$C$2:$C$513,0)-SUMIFS('原始数据'!$D$2:$D$513,'原始数据'!$A$2:$A$513,A31,'原始数据'!$B$2:$B$513,B31,'原始数据'!$C$2:$C$513,-10))</x:f>
        <x:v>8.73988456367185</x:v>
      </x:c>
      <x:c r="D31" s="29" t="n">
        <x:f>'权重'!$B$2*SUMIFS('原始数据'!$D$2:$D$513,'原始数据'!$A$2:$A$513,A31,'原始数据'!$B$2:$B$513,B31,'原始数据'!$C$2:$C$513,0)+'权重'!$B$3*SUMIFS('原始数据'!$D$2:$D$513,'原始数据'!$A$2:$A$513,A31,'原始数据'!$B$2:$B$513,B31,'原始数据'!$C$2:$C$513,-10)</x:f>
        <x:v>8.499847702661144</x:v>
      </x:c>
    </x:row>
    <x:row r="32">
      <x:c r="A32" s="28" t="n">
        <x:v>12</x:v>
      </x:c>
      <x:c r="B32" s="28" t="n">
        <x:v>38</x:v>
      </x:c>
      <x:c r="C32" s="29" t="n">
        <x:f>ABS(SUMIFS('原始数据'!$D$2:$D$513,'原始数据'!$A$2:$A$513,A32,'原始数据'!$B$2:$B$513,B32,'原始数据'!$C$2:$C$513,0)-SUMIFS('原始数据'!$D$2:$D$513,'原始数据'!$A$2:$A$513,A32,'原始数据'!$B$2:$B$513,B32,'原始数据'!$C$2:$C$513,-10))</x:f>
        <x:v>4.80708287462942</x:v>
      </x:c>
      <x:c r="D32" s="29" t="n">
        <x:f>'权重'!$B$2*SUMIFS('原始数据'!$D$2:$D$513,'原始数据'!$A$2:$A$513,A32,'原始数据'!$B$2:$B$513,B32,'原始数据'!$C$2:$C$513,0)+'权重'!$B$3*SUMIFS('原始数据'!$D$2:$D$513,'原始数据'!$A$2:$A$513,A32,'原始数据'!$B$2:$B$513,B32,'原始数据'!$C$2:$C$513,-10)</x:f>
        <x:v>5.964911776598723</x:v>
      </x:c>
    </x:row>
    <x:row r="33">
      <x:c r="A33" s="28" t="n">
        <x:v>12</x:v>
      </x:c>
      <x:c r="B33" s="28" t="n">
        <x:v>40</x:v>
      </x:c>
      <x:c r="C33" s="29" t="n">
        <x:f>ABS(SUMIFS('原始数据'!$D$2:$D$513,'原始数据'!$A$2:$A$513,A33,'原始数据'!$B$2:$B$513,B33,'原始数据'!$C$2:$C$513,0)-SUMIFS('原始数据'!$D$2:$D$513,'原始数据'!$A$2:$A$513,A33,'原始数据'!$B$2:$B$513,B33,'原始数据'!$C$2:$C$513,-10))</x:f>
        <x:v>1.9304686354561498</x:v>
      </x:c>
      <x:c r="D33" s="29" t="n">
        <x:f>'权重'!$B$2*SUMIFS('原始数据'!$D$2:$D$513,'原始数据'!$A$2:$A$513,A33,'原始数据'!$B$2:$B$513,B33,'原始数据'!$C$2:$C$513,0)+'权重'!$B$3*SUMIFS('原始数据'!$D$2:$D$513,'原始数据'!$A$2:$A$513,A33,'原始数据'!$B$2:$B$513,B33,'原始数据'!$C$2:$C$513,-10)</x:f>
        <x:v>4.107564157125185</x:v>
      </x:c>
    </x:row>
    <x:row r="34">
      <x:c r="A34" s="28" t="n">
        <x:v>14</x:v>
      </x:c>
      <x:c r="B34" s="28" t="n">
        <x:v>10</x:v>
      </x:c>
      <x:c r="C34" s="29" t="n">
        <x:f>ABS(SUMIFS('原始数据'!$D$2:$D$513,'原始数据'!$A$2:$A$513,A34,'原始数据'!$B$2:$B$513,B34,'原始数据'!$C$2:$C$513,0)-SUMIFS('原始数据'!$D$2:$D$513,'原始数据'!$A$2:$A$513,A34,'原始数据'!$B$2:$B$513,B34,'原始数据'!$C$2:$C$513,-10))</x:f>
        <x:v>6.688020964111831</x:v>
      </x:c>
      <x:c r="D34" s="29" t="n">
        <x:f>'权重'!$B$2*SUMIFS('原始数据'!$D$2:$D$513,'原始数据'!$A$2:$A$513,A34,'原始数据'!$B$2:$B$513,B34,'原始数据'!$C$2:$C$513,0)+'权重'!$B$3*SUMIFS('原始数据'!$D$2:$D$513,'原始数据'!$A$2:$A$513,A34,'原始数据'!$B$2:$B$513,B34,'原始数据'!$C$2:$C$513,-10)</x:f>
        <x:v>11.512876740033152</x:v>
      </x:c>
    </x:row>
    <x:row r="35">
      <x:c r="A35" s="28" t="n">
        <x:v>14</x:v>
      </x:c>
      <x:c r="B35" s="28" t="n">
        <x:v>12</x:v>
      </x:c>
      <x:c r="C35" s="29" t="n">
        <x:f>ABS(SUMIFS('原始数据'!$D$2:$D$513,'原始数据'!$A$2:$A$513,A35,'原始数据'!$B$2:$B$513,B35,'原始数据'!$C$2:$C$513,0)-SUMIFS('原始数据'!$D$2:$D$513,'原始数据'!$A$2:$A$513,A35,'原始数据'!$B$2:$B$513,B35,'原始数据'!$C$2:$C$513,-10))</x:f>
        <x:v>9.62456409640682</x:v>
      </x:c>
      <x:c r="D35" s="29" t="n">
        <x:f>'权重'!$B$2*SUMIFS('原始数据'!$D$2:$D$513,'原始数据'!$A$2:$A$513,A35,'原始数据'!$B$2:$B$513,B35,'原始数据'!$C$2:$C$513,0)+'权重'!$B$3*SUMIFS('原始数据'!$D$2:$D$513,'原始数据'!$A$2:$A$513,A35,'原始数据'!$B$2:$B$513,B35,'原始数据'!$C$2:$C$513,-10)</x:f>
        <x:v>10.337425235749254</x:v>
      </x:c>
    </x:row>
    <x:row r="36">
      <x:c r="A36" s="28" t="n">
        <x:v>14</x:v>
      </x:c>
      <x:c r="B36" s="28" t="n">
        <x:v>14</x:v>
      </x:c>
      <x:c r="C36" s="29" t="n">
        <x:f>ABS(SUMIFS('原始数据'!$D$2:$D$513,'原始数据'!$A$2:$A$513,A36,'原始数据'!$B$2:$B$513,B36,'原始数据'!$C$2:$C$513,0)-SUMIFS('原始数据'!$D$2:$D$513,'原始数据'!$A$2:$A$513,A36,'原始数据'!$B$2:$B$513,B36,'原始数据'!$C$2:$C$513,-10))</x:f>
        <x:v>13.173391235633517</x:v>
      </x:c>
      <x:c r="D36" s="29" t="n">
        <x:f>'权重'!$B$2*SUMIFS('原始数据'!$D$2:$D$513,'原始数据'!$A$2:$A$513,A36,'原始数据'!$B$2:$B$513,B36,'原始数据'!$C$2:$C$513,0)+'权重'!$B$3*SUMIFS('原始数据'!$D$2:$D$513,'原始数据'!$A$2:$A$513,A36,'原始数据'!$B$2:$B$513,B36,'原始数据'!$C$2:$C$513,-10)</x:f>
        <x:v>9.024529529428843</x:v>
      </x:c>
    </x:row>
    <x:row r="37">
      <x:c r="A37" s="28" t="n">
        <x:v>14</x:v>
      </x:c>
      <x:c r="B37" s="28" t="n">
        <x:v>16</x:v>
      </x:c>
      <x:c r="C37" s="29" t="n">
        <x:f>ABS(SUMIFS('原始数据'!$D$2:$D$513,'原始数据'!$A$2:$A$513,A37,'原始数据'!$B$2:$B$513,B37,'原始数据'!$C$2:$C$513,0)-SUMIFS('原始数据'!$D$2:$D$513,'原始数据'!$A$2:$A$513,A37,'原始数据'!$B$2:$B$513,B37,'原始数据'!$C$2:$C$513,-10))</x:f>
        <x:v>15.63646761120535</x:v>
      </x:c>
      <x:c r="D37" s="29" t="n">
        <x:f>'权重'!$B$2*SUMIFS('原始数据'!$D$2:$D$513,'原始数据'!$A$2:$A$513,A37,'原始数据'!$B$2:$B$513,B37,'原始数据'!$C$2:$C$513,0)+'权重'!$B$3*SUMIFS('原始数据'!$D$2:$D$513,'原始数据'!$A$2:$A$513,A37,'原始数据'!$B$2:$B$513,B37,'原始数据'!$C$2:$C$513,-10)</x:f>
        <x:v>8.204101449670194</x:v>
      </x:c>
    </x:row>
    <x:row r="38">
      <x:c r="A38" s="28" t="n">
        <x:v>14</x:v>
      </x:c>
      <x:c r="B38" s="28" t="n">
        <x:v>18</x:v>
      </x:c>
      <x:c r="C38" s="29" t="n">
        <x:f>ABS(SUMIFS('原始数据'!$D$2:$D$513,'原始数据'!$A$2:$A$513,A38,'原始数据'!$B$2:$B$513,B38,'原始数据'!$C$2:$C$513,0)-SUMIFS('原始数据'!$D$2:$D$513,'原始数据'!$A$2:$A$513,A38,'原始数据'!$B$2:$B$513,B38,'原始数据'!$C$2:$C$513,-10))</x:f>
        <x:v>13.984653727474539</x:v>
      </x:c>
      <x:c r="D38" s="29" t="n">
        <x:f>'权重'!$B$2*SUMIFS('原始数据'!$D$2:$D$513,'原始数据'!$A$2:$A$513,A38,'原始数据'!$B$2:$B$513,B38,'原始数据'!$C$2:$C$513,0)+'权重'!$B$3*SUMIFS('原始数据'!$D$2:$D$513,'原始数据'!$A$2:$A$513,A38,'原始数据'!$B$2:$B$513,B38,'原始数据'!$C$2:$C$513,-10)</x:f>
        <x:v>8.555759524549037</x:v>
      </x:c>
    </x:row>
    <x:row r="39">
      <x:c r="A39" s="28" t="n">
        <x:v>14</x:v>
      </x:c>
      <x:c r="B39" s="28" t="n">
        <x:v>20</x:v>
      </x:c>
      <x:c r="C39" s="29" t="n">
        <x:f>ABS(SUMIFS('原始数据'!$D$2:$D$513,'原始数据'!$A$2:$A$513,A39,'原始数据'!$B$2:$B$513,B39,'原始数据'!$C$2:$C$513,0)-SUMIFS('原始数据'!$D$2:$D$513,'原始数据'!$A$2:$A$513,A39,'原始数据'!$B$2:$B$513,B39,'原始数据'!$C$2:$C$513,-10))</x:f>
        <x:v>14.31735033080194</x:v>
      </x:c>
      <x:c r="D39" s="29" t="n">
        <x:f>'权重'!$B$2*SUMIFS('原始数据'!$D$2:$D$513,'原始数据'!$A$2:$A$513,A39,'原始数据'!$B$2:$B$513,B39,'原始数据'!$C$2:$C$513,0)+'权重'!$B$3*SUMIFS('原始数据'!$D$2:$D$513,'原始数据'!$A$2:$A$513,A39,'原始数据'!$B$2:$B$513,B39,'原始数据'!$C$2:$C$513,-10)</x:f>
        <x:v>8.450724969557116</x:v>
      </x:c>
    </x:row>
    <x:row r="40">
      <x:c r="A40" s="28" t="n">
        <x:v>14</x:v>
      </x:c>
      <x:c r="B40" s="28" t="n">
        <x:v>22</x:v>
      </x:c>
      <x:c r="C40" s="29" t="n">
        <x:f>ABS(SUMIFS('原始数据'!$D$2:$D$513,'原始数据'!$A$2:$A$513,A40,'原始数据'!$B$2:$B$513,B40,'原始数据'!$C$2:$C$513,0)-SUMIFS('原始数据'!$D$2:$D$513,'原始数据'!$A$2:$A$513,A40,'原始数据'!$B$2:$B$513,B40,'原始数据'!$C$2:$C$513,-10))</x:f>
        <x:v>14.39577585149059</x:v>
      </x:c>
      <x:c r="D40" s="29" t="n">
        <x:f>'权重'!$B$2*SUMIFS('原始数据'!$D$2:$D$513,'原始数据'!$A$2:$A$513,A40,'原始数据'!$B$2:$B$513,B40,'原始数据'!$C$2:$C$513,0)+'权重'!$B$3*SUMIFS('原始数据'!$D$2:$D$513,'原始数据'!$A$2:$A$513,A40,'原始数据'!$B$2:$B$513,B40,'原始数据'!$C$2:$C$513,-10)</x:f>
        <x:v>8.329636539564323</x:v>
      </x:c>
    </x:row>
    <x:row r="41">
      <x:c r="A41" s="28" t="n">
        <x:v>14</x:v>
      </x:c>
      <x:c r="B41" s="28" t="n">
        <x:v>24</x:v>
      </x:c>
      <x:c r="C41" s="29" t="n">
        <x:f>ABS(SUMIFS('原始数据'!$D$2:$D$513,'原始数据'!$A$2:$A$513,A41,'原始数据'!$B$2:$B$513,B41,'原始数据'!$C$2:$C$513,0)-SUMIFS('原始数据'!$D$2:$D$513,'原始数据'!$A$2:$A$513,A41,'原始数据'!$B$2:$B$513,B41,'原始数据'!$C$2:$C$513,-10))</x:f>
        <x:v>14.426482896019959</x:v>
      </x:c>
      <x:c r="D41" s="29" t="n">
        <x:f>'权重'!$B$2*SUMIFS('原始数据'!$D$2:$D$513,'原始数据'!$A$2:$A$513,A41,'原始数据'!$B$2:$B$513,B41,'原始数据'!$C$2:$C$513,0)+'权重'!$B$3*SUMIFS('原始数据'!$D$2:$D$513,'原始数据'!$A$2:$A$513,A41,'原始数据'!$B$2:$B$513,B41,'原始数据'!$C$2:$C$513,-10)</x:f>
        <x:v>8.305691803039512</x:v>
      </x:c>
    </x:row>
    <x:row r="42">
      <x:c r="A42" s="28" t="n">
        <x:v>14</x:v>
      </x:c>
      <x:c r="B42" s="28" t="n">
        <x:v>26</x:v>
      </x:c>
      <x:c r="C42" s="29" t="n">
        <x:f>ABS(SUMIFS('原始数据'!$D$2:$D$513,'原始数据'!$A$2:$A$513,A42,'原始数据'!$B$2:$B$513,B42,'原始数据'!$C$2:$C$513,0)-SUMIFS('原始数据'!$D$2:$D$513,'原始数据'!$A$2:$A$513,A42,'原始数据'!$B$2:$B$513,B42,'原始数据'!$C$2:$C$513,-10))</x:f>
        <x:v>14.4362720552556</x:v>
      </x:c>
      <x:c r="D42" s="29" t="n">
        <x:f>'权重'!$B$2*SUMIFS('原始数据'!$D$2:$D$513,'原始数据'!$A$2:$A$513,A42,'原始数据'!$B$2:$B$513,B42,'原始数据'!$C$2:$C$513,0)+'权重'!$B$3*SUMIFS('原始数据'!$D$2:$D$513,'原始数据'!$A$2:$A$513,A42,'原始数据'!$B$2:$B$513,B42,'原始数据'!$C$2:$C$513,-10)</x:f>
        <x:v>8.298446572497019</x:v>
      </x:c>
    </x:row>
    <x:row r="43">
      <x:c r="A43" s="28" t="n">
        <x:v>14</x:v>
      </x:c>
      <x:c r="B43" s="28" t="n">
        <x:v>28</x:v>
      </x:c>
      <x:c r="C43" s="29" t="n">
        <x:f>ABS(SUMIFS('原始数据'!$D$2:$D$513,'原始数据'!$A$2:$A$513,A43,'原始数据'!$B$2:$B$513,B43,'原始数据'!$C$2:$C$513,0)-SUMIFS('原始数据'!$D$2:$D$513,'原始数据'!$A$2:$A$513,A43,'原始数据'!$B$2:$B$513,B43,'原始数据'!$C$2:$C$513,-10))</x:f>
        <x:v>14.285568962174521</x:v>
      </x:c>
      <x:c r="D43" s="29" t="n">
        <x:f>'权重'!$B$2*SUMIFS('原始数据'!$D$2:$D$513,'原始数据'!$A$2:$A$513,A43,'原始数据'!$B$2:$B$513,B43,'原始数据'!$C$2:$C$513,0)+'权重'!$B$3*SUMIFS('原始数据'!$D$2:$D$513,'原始数据'!$A$2:$A$513,A43,'原始数据'!$B$2:$B$513,B43,'原始数据'!$C$2:$C$513,-10)</x:f>
        <x:v>8.374305766730744</x:v>
      </x:c>
    </x:row>
    <x:row r="44">
      <x:c r="A44" s="28" t="n">
        <x:v>14</x:v>
      </x:c>
      <x:c r="B44" s="28" t="n">
        <x:v>30</x:v>
      </x:c>
      <x:c r="C44" s="29" t="n">
        <x:f>ABS(SUMIFS('原始数据'!$D$2:$D$513,'原始数据'!$A$2:$A$513,A44,'原始数据'!$B$2:$B$513,B44,'原始数据'!$C$2:$C$513,0)-SUMIFS('原始数据'!$D$2:$D$513,'原始数据'!$A$2:$A$513,A44,'原始数据'!$B$2:$B$513,B44,'原始数据'!$C$2:$C$513,-10))</x:f>
        <x:v>13.282431932057296</x:v>
      </x:c>
      <x:c r="D44" s="29" t="n">
        <x:f>'权重'!$B$2*SUMIFS('原始数据'!$D$2:$D$513,'原始数据'!$A$2:$A$513,A44,'原始数据'!$B$2:$B$513,B44,'原始数据'!$C$2:$C$513,0)+'权重'!$B$3*SUMIFS('原始数据'!$D$2:$D$513,'原始数据'!$A$2:$A$513,A44,'原始数据'!$B$2:$B$513,B44,'原始数据'!$C$2:$C$513,-10)</x:f>
        <x:v>8.79501363380481</x:v>
      </x:c>
    </x:row>
    <x:row r="45">
      <x:c r="A45" s="28" t="n">
        <x:v>14</x:v>
      </x:c>
      <x:c r="B45" s="28" t="n">
        <x:v>32</x:v>
      </x:c>
      <x:c r="C45" s="29" t="n">
        <x:f>ABS(SUMIFS('原始数据'!$D$2:$D$513,'原始数据'!$A$2:$A$513,A45,'原始数据'!$B$2:$B$513,B45,'原始数据'!$C$2:$C$513,0)-SUMIFS('原始数据'!$D$2:$D$513,'原始数据'!$A$2:$A$513,A45,'原始数据'!$B$2:$B$513,B45,'原始数据'!$C$2:$C$513,-10))</x:f>
        <x:v>12.159888356962426</x:v>
      </x:c>
      <x:c r="D45" s="29" t="n">
        <x:f>'权重'!$B$2*SUMIFS('原始数据'!$D$2:$D$513,'原始数据'!$A$2:$A$513,A45,'原始数据'!$B$2:$B$513,B45,'原始数据'!$C$2:$C$513,0)+'权重'!$B$3*SUMIFS('原始数据'!$D$2:$D$513,'原始数据'!$A$2:$A$513,A45,'原始数据'!$B$2:$B$513,B45,'原始数据'!$C$2:$C$513,-10)</x:f>
        <x:v>9.073218041150671</x:v>
      </x:c>
    </x:row>
    <x:row r="46">
      <x:c r="A46" s="28" t="n">
        <x:v>14</x:v>
      </x:c>
      <x:c r="B46" s="28" t="n">
        <x:v>34</x:v>
      </x:c>
      <x:c r="C46" s="29" t="n">
        <x:f>ABS(SUMIFS('原始数据'!$D$2:$D$513,'原始数据'!$A$2:$A$513,A46,'原始数据'!$B$2:$B$513,B46,'原始数据'!$C$2:$C$513,0)-SUMIFS('原始数据'!$D$2:$D$513,'原始数据'!$A$2:$A$513,A46,'原始数据'!$B$2:$B$513,B46,'原始数据'!$C$2:$C$513,-10))</x:f>
        <x:v>11.56590860133001</x:v>
      </x:c>
      <x:c r="D46" s="29" t="n">
        <x:f>'权重'!$B$2*SUMIFS('原始数据'!$D$2:$D$513,'原始数据'!$A$2:$A$513,A46,'原始数据'!$B$2:$B$513,B46,'原始数据'!$C$2:$C$513,0)+'权重'!$B$3*SUMIFS('原始数据'!$D$2:$D$513,'原始数据'!$A$2:$A$513,A46,'原始数据'!$B$2:$B$513,B46,'原始数据'!$C$2:$C$513,-10)</x:f>
        <x:v>9.310763058637198</x:v>
      </x:c>
    </x:row>
    <x:row r="47">
      <x:c r="A47" s="28" t="n">
        <x:v>14</x:v>
      </x:c>
      <x:c r="B47" s="28" t="n">
        <x:v>36</x:v>
      </x:c>
      <x:c r="C47" s="29" t="n">
        <x:f>ABS(SUMIFS('原始数据'!$D$2:$D$513,'原始数据'!$A$2:$A$513,A47,'原始数据'!$B$2:$B$513,B47,'原始数据'!$C$2:$C$513,0)-SUMIFS('原始数据'!$D$2:$D$513,'原始数据'!$A$2:$A$513,A47,'原始数据'!$B$2:$B$513,B47,'原始数据'!$C$2:$C$513,-10))</x:f>
        <x:v>10.947947538639061</x:v>
      </x:c>
      <x:c r="D47" s="29" t="n">
        <x:f>'权重'!$B$2*SUMIFS('原始数据'!$D$2:$D$513,'原始数据'!$A$2:$A$513,A47,'原始数据'!$B$2:$B$513,B47,'原始数据'!$C$2:$C$513,0)+'权重'!$B$3*SUMIFS('原始数据'!$D$2:$D$513,'原始数据'!$A$2:$A$513,A47,'原始数据'!$B$2:$B$513,B47,'原始数据'!$C$2:$C$513,-10)</x:f>
        <x:v>9.323897147953883</x:v>
      </x:c>
    </x:row>
    <x:row r="48">
      <x:c r="A48" s="28" t="n">
        <x:v>14</x:v>
      </x:c>
      <x:c r="B48" s="28" t="n">
        <x:v>38</x:v>
      </x:c>
      <x:c r="C48" s="29" t="n">
        <x:f>ABS(SUMIFS('原始数据'!$D$2:$D$513,'原始数据'!$A$2:$A$513,A48,'原始数据'!$B$2:$B$513,B48,'原始数据'!$C$2:$C$513,0)-SUMIFS('原始数据'!$D$2:$D$513,'原始数据'!$A$2:$A$513,A48,'原始数据'!$B$2:$B$513,B48,'原始数据'!$C$2:$C$513,-10))</x:f>
        <x:v>7.34225377334969</x:v>
      </x:c>
      <x:c r="D48" s="29" t="n">
        <x:f>'权重'!$B$2*SUMIFS('原始数据'!$D$2:$D$513,'原始数据'!$A$2:$A$513,A48,'原始数据'!$B$2:$B$513,B48,'原始数据'!$C$2:$C$513,0)+'权重'!$B$3*SUMIFS('原始数据'!$D$2:$D$513,'原始数据'!$A$2:$A$513,A48,'原始数据'!$B$2:$B$513,B48,'原始数据'!$C$2:$C$513,-10)</x:f>
        <x:v>7.1040960443710635</x:v>
      </x:c>
    </x:row>
    <x:row r="49">
      <x:c r="A49" s="28" t="n">
        <x:v>14</x:v>
      </x:c>
      <x:c r="B49" s="28" t="n">
        <x:v>40</x:v>
      </x:c>
      <x:c r="C49" s="29" t="n">
        <x:f>ABS(SUMIFS('原始数据'!$D$2:$D$513,'原始数据'!$A$2:$A$513,A49,'原始数据'!$B$2:$B$513,B49,'原始数据'!$C$2:$C$513,0)-SUMIFS('原始数据'!$D$2:$D$513,'原始数据'!$A$2:$A$513,A49,'原始数据'!$B$2:$B$513,B49,'原始数据'!$C$2:$C$513,-10))</x:f>
        <x:v>3.9819735333791098</x:v>
      </x:c>
      <x:c r="D49" s="29" t="n">
        <x:f>'权重'!$B$2*SUMIFS('原始数据'!$D$2:$D$513,'原始数据'!$A$2:$A$513,A49,'原始数据'!$B$2:$B$513,B49,'原始数据'!$C$2:$C$513,0)+'权重'!$B$3*SUMIFS('原始数据'!$D$2:$D$513,'原始数据'!$A$2:$A$513,A49,'原始数据'!$B$2:$B$513,B49,'原始数据'!$C$2:$C$513,-10)</x:f>
        <x:v>4.949237219175506</x:v>
      </x:c>
    </x:row>
    <x:row r="50">
      <x:c r="A50" s="28" t="n">
        <x:v>16</x:v>
      </x:c>
      <x:c r="B50" s="28" t="n">
        <x:v>10</x:v>
      </x:c>
      <x:c r="C50" s="29" t="n">
        <x:f>ABS(SUMIFS('原始数据'!$D$2:$D$513,'原始数据'!$A$2:$A$513,A50,'原始数据'!$B$2:$B$513,B50,'原始数据'!$C$2:$C$513,0)-SUMIFS('原始数据'!$D$2:$D$513,'原始数据'!$A$2:$A$513,A50,'原始数据'!$B$2:$B$513,B50,'原始数据'!$C$2:$C$513,-10))</x:f>
        <x:v>7.58137514386346</x:v>
      </x:c>
      <x:c r="D50" s="29" t="n">
        <x:f>'权重'!$B$2*SUMIFS('原始数据'!$D$2:$D$513,'原始数据'!$A$2:$A$513,A50,'原始数据'!$B$2:$B$513,B50,'原始数据'!$C$2:$C$513,0)+'权重'!$B$3*SUMIFS('原始数据'!$D$2:$D$513,'原始数据'!$A$2:$A$513,A50,'原始数据'!$B$2:$B$513,B50,'原始数据'!$C$2:$C$513,-10)</x:f>
        <x:v>11.721185997313462</x:v>
      </x:c>
    </x:row>
    <x:row r="51">
      <x:c r="A51" s="28" t="n">
        <x:v>16</x:v>
      </x:c>
      <x:c r="B51" s="28" t="n">
        <x:v>12</x:v>
      </x:c>
      <x:c r="C51" s="29" t="n">
        <x:f>ABS(SUMIFS('原始数据'!$D$2:$D$513,'原始数据'!$A$2:$A$513,A51,'原始数据'!$B$2:$B$513,B51,'原始数据'!$C$2:$C$513,0)-SUMIFS('原始数据'!$D$2:$D$513,'原始数据'!$A$2:$A$513,A51,'原始数据'!$B$2:$B$513,B51,'原始数据'!$C$2:$C$513,-10))</x:f>
        <x:v>10.06177481764966</x:v>
      </x:c>
      <x:c r="D51" s="29" t="n">
        <x:f>'权重'!$B$2*SUMIFS('原始数据'!$D$2:$D$513,'原始数据'!$A$2:$A$513,A51,'原始数据'!$B$2:$B$513,B51,'原始数据'!$C$2:$C$513,0)+'权重'!$B$3*SUMIFS('原始数据'!$D$2:$D$513,'原始数据'!$A$2:$A$513,A51,'原始数据'!$B$2:$B$513,B51,'原始数据'!$C$2:$C$513,-10)</x:f>
        <x:v>10.682870518103302</x:v>
      </x:c>
    </x:row>
    <x:row r="52">
      <x:c r="A52" s="28" t="n">
        <x:v>16</x:v>
      </x:c>
      <x:c r="B52" s="28" t="n">
        <x:v>14</x:v>
      </x:c>
      <x:c r="C52" s="29" t="n">
        <x:f>ABS(SUMIFS('原始数据'!$D$2:$D$513,'原始数据'!$A$2:$A$513,A52,'原始数据'!$B$2:$B$513,B52,'原始数据'!$C$2:$C$513,0)-SUMIFS('原始数据'!$D$2:$D$513,'原始数据'!$A$2:$A$513,A52,'原始数据'!$B$2:$B$513,B52,'原始数据'!$C$2:$C$513,-10))</x:f>
        <x:v>12.971457728899017</x:v>
      </x:c>
      <x:c r="D52" s="29" t="n">
        <x:f>'权重'!$B$2*SUMIFS('原始数据'!$D$2:$D$513,'原始数据'!$A$2:$A$513,A52,'原始数据'!$B$2:$B$513,B52,'原始数据'!$C$2:$C$513,0)+'权重'!$B$3*SUMIFS('原始数据'!$D$2:$D$513,'原始数据'!$A$2:$A$513,A52,'原始数据'!$B$2:$B$513,B52,'原始数据'!$C$2:$C$513,-10)</x:f>
        <x:v>9.472790425284595</x:v>
      </x:c>
    </x:row>
    <x:row r="53">
      <x:c r="A53" s="28" t="n">
        <x:v>16</x:v>
      </x:c>
      <x:c r="B53" s="28" t="n">
        <x:v>16</x:v>
      </x:c>
      <x:c r="C53" s="29" t="n">
        <x:f>ABS(SUMIFS('原始数据'!$D$2:$D$513,'原始数据'!$A$2:$A$513,A53,'原始数据'!$B$2:$B$513,B53,'原始数据'!$C$2:$C$513,0)-SUMIFS('原始数据'!$D$2:$D$513,'原始数据'!$A$2:$A$513,A53,'原始数据'!$B$2:$B$513,B53,'原始数据'!$C$2:$C$513,-10))</x:f>
        <x:v>16.08013508465178</x:v>
      </x:c>
      <x:c r="D53" s="29" t="n">
        <x:f>'权重'!$B$2*SUMIFS('原始数据'!$D$2:$D$513,'原始数据'!$A$2:$A$513,A53,'原始数据'!$B$2:$B$513,B53,'原始数据'!$C$2:$C$513,0)+'权重'!$B$3*SUMIFS('原始数据'!$D$2:$D$513,'原始数据'!$A$2:$A$513,A53,'原始数据'!$B$2:$B$513,B53,'原始数据'!$C$2:$C$513,-10)</x:f>
        <x:v>8.363185575924767</x:v>
      </x:c>
    </x:row>
    <x:row r="54">
      <x:c r="A54" s="28" t="n">
        <x:v>16</x:v>
      </x:c>
      <x:c r="B54" s="28" t="n">
        <x:v>18</x:v>
      </x:c>
      <x:c r="C54" s="29" t="n">
        <x:f>ABS(SUMIFS('原始数据'!$D$2:$D$513,'原始数据'!$A$2:$A$513,A54,'原始数据'!$B$2:$B$513,B54,'原始数据'!$C$2:$C$513,0)-SUMIFS('原始数据'!$D$2:$D$513,'原始数据'!$A$2:$A$513,A54,'原始数据'!$B$2:$B$513,B54,'原始数据'!$C$2:$C$513,-10))</x:f>
        <x:v>15.20261625861737</x:v>
      </x:c>
      <x:c r="D54" s="29" t="n">
        <x:f>'权重'!$B$2*SUMIFS('原始数据'!$D$2:$D$513,'原始数据'!$A$2:$A$513,A54,'原始数据'!$B$2:$B$513,B54,'原始数据'!$C$2:$C$513,0)+'权重'!$B$3*SUMIFS('原始数据'!$D$2:$D$513,'原始数据'!$A$2:$A$513,A54,'原始数据'!$B$2:$B$513,B54,'原始数据'!$C$2:$C$513,-10)</x:f>
        <x:v>8.446366689982089</x:v>
      </x:c>
    </x:row>
    <x:row r="55">
      <x:c r="A55" s="28" t="n">
        <x:v>16</x:v>
      </x:c>
      <x:c r="B55" s="28" t="n">
        <x:v>20</x:v>
      </x:c>
      <x:c r="C55" s="29" t="n">
        <x:f>ABS(SUMIFS('原始数据'!$D$2:$D$513,'原始数据'!$A$2:$A$513,A55,'原始数据'!$B$2:$B$513,B55,'原始数据'!$C$2:$C$513,0)-SUMIFS('原始数据'!$D$2:$D$513,'原始数据'!$A$2:$A$513,A55,'原始数据'!$B$2:$B$513,B55,'原始数据'!$C$2:$C$513,-10))</x:f>
        <x:v>14.47784254855582</x:v>
      </x:c>
      <x:c r="D55" s="29" t="n">
        <x:f>'权重'!$B$2*SUMIFS('原始数据'!$D$2:$D$513,'原始数据'!$A$2:$A$513,A55,'原始数据'!$B$2:$B$513,B55,'原始数据'!$C$2:$C$513,0)+'权重'!$B$3*SUMIFS('原始数据'!$D$2:$D$513,'原始数据'!$A$2:$A$513,A55,'原始数据'!$B$2:$B$513,B55,'原始数据'!$C$2:$C$513,-10)</x:f>
        <x:v>8.552159504991355</x:v>
      </x:c>
    </x:row>
    <x:row r="56">
      <x:c r="A56" s="28" t="n">
        <x:v>16</x:v>
      </x:c>
      <x:c r="B56" s="28" t="n">
        <x:v>22</x:v>
      </x:c>
      <x:c r="C56" s="29" t="n">
        <x:f>ABS(SUMIFS('原始数据'!$D$2:$D$513,'原始数据'!$A$2:$A$513,A56,'原始数据'!$B$2:$B$513,B56,'原始数据'!$C$2:$C$513,0)-SUMIFS('原始数据'!$D$2:$D$513,'原始数据'!$A$2:$A$513,A56,'原始数据'!$B$2:$B$513,B56,'原始数据'!$C$2:$C$513,-10))</x:f>
        <x:v>14.85177544809284</x:v>
      </x:c>
      <x:c r="D56" s="29" t="n">
        <x:f>'权重'!$B$2*SUMIFS('原始数据'!$D$2:$D$513,'原始数据'!$A$2:$A$513,A56,'原始数据'!$B$2:$B$513,B56,'原始数据'!$C$2:$C$513,0)+'权重'!$B$3*SUMIFS('原始数据'!$D$2:$D$513,'原始数据'!$A$2:$A$513,A56,'原始数据'!$B$2:$B$513,B56,'原始数据'!$C$2:$C$513,-10)</x:f>
        <x:v>8.396648975733347</x:v>
      </x:c>
    </x:row>
    <x:row r="57">
      <x:c r="A57" s="28" t="n">
        <x:v>16</x:v>
      </x:c>
      <x:c r="B57" s="28" t="n">
        <x:v>24</x:v>
      </x:c>
      <x:c r="C57" s="29" t="n">
        <x:f>ABS(SUMIFS('原始数据'!$D$2:$D$513,'原始数据'!$A$2:$A$513,A57,'原始数据'!$B$2:$B$513,B57,'原始数据'!$C$2:$C$513,0)-SUMIFS('原始数据'!$D$2:$D$513,'原始数据'!$A$2:$A$513,A57,'原始数据'!$B$2:$B$513,B57,'原始数据'!$C$2:$C$513,-10))</x:f>
        <x:v>14.952740481687439</x:v>
      </x:c>
      <x:c r="D57" s="29" t="n">
        <x:f>'权重'!$B$2*SUMIFS('原始数据'!$D$2:$D$513,'原始数据'!$A$2:$A$513,A57,'原始数据'!$B$2:$B$513,B57,'原始数据'!$C$2:$C$513,0)+'权重'!$B$3*SUMIFS('原始数据'!$D$2:$D$513,'原始数据'!$A$2:$A$513,A57,'原始数据'!$B$2:$B$513,B57,'原始数据'!$C$2:$C$513,-10)</x:f>
        <x:v>8.298919648490568</x:v>
      </x:c>
    </x:row>
    <x:row r="58">
      <x:c r="A58" s="28" t="n">
        <x:v>16</x:v>
      </x:c>
      <x:c r="B58" s="28" t="n">
        <x:v>26</x:v>
      </x:c>
      <x:c r="C58" s="29" t="n">
        <x:f>ABS(SUMIFS('原始数据'!$D$2:$D$513,'原始数据'!$A$2:$A$513,A58,'原始数据'!$B$2:$B$513,B58,'原始数据'!$C$2:$C$513,0)-SUMIFS('原始数据'!$D$2:$D$513,'原始数据'!$A$2:$A$513,A58,'原始数据'!$B$2:$B$513,B58,'原始数据'!$C$2:$C$513,-10))</x:f>
        <x:v>14.900825460143869</x:v>
      </x:c>
      <x:c r="D58" s="29" t="n">
        <x:f>'权重'!$B$2*SUMIFS('原始数据'!$D$2:$D$513,'原始数据'!$A$2:$A$513,A58,'原始数据'!$B$2:$B$513,B58,'原始数据'!$C$2:$C$513,0)+'权重'!$B$3*SUMIFS('原始数据'!$D$2:$D$513,'原始数据'!$A$2:$A$513,A58,'原始数据'!$B$2:$B$513,B58,'原始数据'!$C$2:$C$513,-10)</x:f>
        <x:v>8.279678160938637</x:v>
      </x:c>
    </x:row>
    <x:row r="59">
      <x:c r="A59" s="28" t="n">
        <x:v>16</x:v>
      </x:c>
      <x:c r="B59" s="28" t="n">
        <x:v>28</x:v>
      </x:c>
      <x:c r="C59" s="29" t="n">
        <x:f>ABS(SUMIFS('原始数据'!$D$2:$D$513,'原始数据'!$A$2:$A$513,A59,'原始数据'!$B$2:$B$513,B59,'原始数据'!$C$2:$C$513,0)-SUMIFS('原始数据'!$D$2:$D$513,'原始数据'!$A$2:$A$513,A59,'原始数据'!$B$2:$B$513,B59,'原始数据'!$C$2:$C$513,-10))</x:f>
        <x:v>14.98942874299895</x:v>
      </x:c>
      <x:c r="D59" s="29" t="n">
        <x:f>'权重'!$B$2*SUMIFS('原始数据'!$D$2:$D$513,'原始数据'!$A$2:$A$513,A59,'原始数据'!$B$2:$B$513,B59,'原始数据'!$C$2:$C$513,0)+'权重'!$B$3*SUMIFS('原始数据'!$D$2:$D$513,'原始数据'!$A$2:$A$513,A59,'原始数据'!$B$2:$B$513,B59,'原始数据'!$C$2:$C$513,-10)</x:f>
        <x:v>8.236421639605615</x:v>
      </x:c>
    </x:row>
    <x:row r="60">
      <x:c r="A60" s="28" t="n">
        <x:v>16</x:v>
      </x:c>
      <x:c r="B60" s="28" t="n">
        <x:v>30</x:v>
      </x:c>
      <x:c r="C60" s="29" t="n">
        <x:f>ABS(SUMIFS('原始数据'!$D$2:$D$513,'原始数据'!$A$2:$A$513,A60,'原始数据'!$B$2:$B$513,B60,'原始数据'!$C$2:$C$513,0)-SUMIFS('原始数据'!$D$2:$D$513,'原始数据'!$A$2:$A$513,A60,'原始数据'!$B$2:$B$513,B60,'原始数据'!$C$2:$C$513,-10))</x:f>
        <x:v>14.34974758672455</x:v>
      </x:c>
      <x:c r="D60" s="29" t="n">
        <x:f>'权重'!$B$2*SUMIFS('原始数据'!$D$2:$D$513,'原始数据'!$A$2:$A$513,A60,'原始数据'!$B$2:$B$513,B60,'原始数据'!$C$2:$C$513,0)+'权重'!$B$3*SUMIFS('原始数据'!$D$2:$D$513,'原始数据'!$A$2:$A$513,A60,'原始数据'!$B$2:$B$513,B60,'原始数据'!$C$2:$C$513,-10)</x:f>
        <x:v>8.514574464322335</x:v>
      </x:c>
    </x:row>
    <x:row r="61">
      <x:c r="A61" s="28" t="n">
        <x:v>16</x:v>
      </x:c>
      <x:c r="B61" s="28" t="n">
        <x:v>32</x:v>
      </x:c>
      <x:c r="C61" s="29" t="n">
        <x:f>ABS(SUMIFS('原始数据'!$D$2:$D$513,'原始数据'!$A$2:$A$513,A61,'原始数据'!$B$2:$B$513,B61,'原始数据'!$C$2:$C$513,0)-SUMIFS('原始数据'!$D$2:$D$513,'原始数据'!$A$2:$A$513,A61,'原始数据'!$B$2:$B$513,B61,'原始数据'!$C$2:$C$513,-10))</x:f>
        <x:v>13.181860137564419</x:v>
      </x:c>
      <x:c r="D61" s="29" t="n">
        <x:f>'权重'!$B$2*SUMIFS('原始数据'!$D$2:$D$513,'原始数据'!$A$2:$A$513,A61,'原始数据'!$B$2:$B$513,B61,'原始数据'!$C$2:$C$513,0)+'权重'!$B$3*SUMIFS('原始数据'!$D$2:$D$513,'原始数据'!$A$2:$A$513,A61,'原始数据'!$B$2:$B$513,B61,'原始数据'!$C$2:$C$513,-10)</x:f>
        <x:v>8.920237285511373</x:v>
      </x:c>
    </x:row>
    <x:row r="62">
      <x:c r="A62" s="28" t="n">
        <x:v>16</x:v>
      </x:c>
      <x:c r="B62" s="28" t="n">
        <x:v>34</x:v>
      </x:c>
      <x:c r="C62" s="29" t="n">
        <x:f>ABS(SUMIFS('原始数据'!$D$2:$D$513,'原始数据'!$A$2:$A$513,A62,'原始数据'!$B$2:$B$513,B62,'原始数据'!$C$2:$C$513,0)-SUMIFS('原始数据'!$D$2:$D$513,'原始数据'!$A$2:$A$513,A62,'原始数据'!$B$2:$B$513,B62,'原始数据'!$C$2:$C$513,-10))</x:f>
        <x:v>12.5071839374894</x:v>
      </x:c>
      <x:c r="D62" s="29" t="n">
        <x:f>'权重'!$B$2*SUMIFS('原始数据'!$D$2:$D$513,'原始数据'!$A$2:$A$513,A62,'原始数据'!$B$2:$B$513,B62,'原始数据'!$C$2:$C$513,0)+'权重'!$B$3*SUMIFS('原始数据'!$D$2:$D$513,'原始数据'!$A$2:$A$513,A62,'原始数据'!$B$2:$B$513,B62,'原始数据'!$C$2:$C$513,-10)</x:f>
        <x:v>9.16116169610518</x:v>
      </x:c>
    </x:row>
    <x:row r="63">
      <x:c r="A63" s="28" t="n">
        <x:v>16</x:v>
      </x:c>
      <x:c r="B63" s="28" t="n">
        <x:v>36</x:v>
      </x:c>
      <x:c r="C63" s="29" t="n">
        <x:f>ABS(SUMIFS('原始数据'!$D$2:$D$513,'原始数据'!$A$2:$A$513,A63,'原始数据'!$B$2:$B$513,B63,'原始数据'!$C$2:$C$513,0)-SUMIFS('原始数据'!$D$2:$D$513,'原始数据'!$A$2:$A$513,A63,'原始数据'!$B$2:$B$513,B63,'原始数据'!$C$2:$C$513,-10))</x:f>
        <x:v>11.901058904299257</x:v>
      </x:c>
      <x:c r="D63" s="29" t="n">
        <x:f>'权重'!$B$2*SUMIFS('原始数据'!$D$2:$D$513,'原始数据'!$A$2:$A$513,A63,'原始数据'!$B$2:$B$513,B63,'原始数据'!$C$2:$C$513,0)+'权重'!$B$3*SUMIFS('原始数据'!$D$2:$D$513,'原始数据'!$A$2:$A$513,A63,'原始数据'!$B$2:$B$513,B63,'原始数据'!$C$2:$C$513,-10)</x:f>
        <x:v>9.28815900094192</x:v>
      </x:c>
    </x:row>
    <x:row r="64">
      <x:c r="A64" s="28" t="n">
        <x:v>16</x:v>
      </x:c>
      <x:c r="B64" s="28" t="n">
        <x:v>38</x:v>
      </x:c>
      <x:c r="C64" s="29" t="n">
        <x:f>ABS(SUMIFS('原始数据'!$D$2:$D$513,'原始数据'!$A$2:$A$513,A64,'原始数据'!$B$2:$B$513,B64,'原始数据'!$C$2:$C$513,0)-SUMIFS('原始数据'!$D$2:$D$513,'原始数据'!$A$2:$A$513,A64,'原始数据'!$B$2:$B$513,B64,'原始数据'!$C$2:$C$513,-10))</x:f>
        <x:v>10.14251524542663</x:v>
      </x:c>
      <x:c r="D64" s="29" t="n">
        <x:f>'权重'!$B$2*SUMIFS('原始数据'!$D$2:$D$513,'原始数据'!$A$2:$A$513,A64,'原始数据'!$B$2:$B$513,B64,'原始数据'!$C$2:$C$513,0)+'权重'!$B$3*SUMIFS('原始数据'!$D$2:$D$513,'原始数据'!$A$2:$A$513,A64,'原始数据'!$B$2:$B$513,B64,'原始数据'!$C$2:$C$513,-10)</x:f>
        <x:v>8.399247651676411</x:v>
      </x:c>
    </x:row>
    <x:row r="65">
      <x:c r="A65" s="28" t="n">
        <x:v>16</x:v>
      </x:c>
      <x:c r="B65" s="28" t="n">
        <x:v>40</x:v>
      </x:c>
      <x:c r="C65" s="29" t="n">
        <x:f>ABS(SUMIFS('原始数据'!$D$2:$D$513,'原始数据'!$A$2:$A$513,A65,'原始数据'!$B$2:$B$513,B65,'原始数据'!$C$2:$C$513,0)-SUMIFS('原始数据'!$D$2:$D$513,'原始数据'!$A$2:$A$513,A65,'原始数据'!$B$2:$B$513,B65,'原始数据'!$C$2:$C$513,-10))</x:f>
        <x:v>6.25478242948655</x:v>
      </x:c>
      <x:c r="D65" s="29" t="n">
        <x:f>'权重'!$B$2*SUMIFS('原始数据'!$D$2:$D$513,'原始数据'!$A$2:$A$513,A65,'原始数据'!$B$2:$B$513,B65,'原始数据'!$C$2:$C$513,0)+'权重'!$B$3*SUMIFS('原始数据'!$D$2:$D$513,'原始数据'!$A$2:$A$513,A65,'原始数据'!$B$2:$B$513,B65,'原始数据'!$C$2:$C$513,-10)</x:f>
        <x:v>5.868613024583874</x:v>
      </x:c>
    </x:row>
    <x:row r="66">
      <x:c r="A66" s="28" t="n">
        <x:v>18</x:v>
      </x:c>
      <x:c r="B66" s="28" t="n">
        <x:v>10</x:v>
      </x:c>
      <x:c r="C66" s="29" t="n">
        <x:f>ABS(SUMIFS('原始数据'!$D$2:$D$513,'原始数据'!$A$2:$A$513,A66,'原始数据'!$B$2:$B$513,B66,'原始数据'!$C$2:$C$513,0)-SUMIFS('原始数据'!$D$2:$D$513,'原始数据'!$A$2:$A$513,A66,'原始数据'!$B$2:$B$513,B66,'原始数据'!$C$2:$C$513,-10))</x:f>
        <x:v>8.08441072969466</x:v>
      </x:c>
      <x:c r="D66" s="29" t="n">
        <x:f>'权重'!$B$2*SUMIFS('原始数据'!$D$2:$D$513,'原始数据'!$A$2:$A$513,A66,'原始数据'!$B$2:$B$513,B66,'原始数据'!$C$2:$C$513,0)+'权重'!$B$3*SUMIFS('原始数据'!$D$2:$D$513,'原始数据'!$A$2:$A$513,A66,'原始数据'!$B$2:$B$513,B66,'原始数据'!$C$2:$C$513,-10)</x:f>
        <x:v>11.444255368372403</x:v>
      </x:c>
    </x:row>
    <x:row r="67">
      <x:c r="A67" s="28" t="n">
        <x:v>18</x:v>
      </x:c>
      <x:c r="B67" s="28" t="n">
        <x:v>12</x:v>
      </x:c>
      <x:c r="C67" s="29" t="n">
        <x:f>ABS(SUMIFS('原始数据'!$D$2:$D$513,'原始数据'!$A$2:$A$513,A67,'原始数据'!$B$2:$B$513,B67,'原始数据'!$C$2:$C$513,0)-SUMIFS('原始数据'!$D$2:$D$513,'原始数据'!$A$2:$A$513,A67,'原始数据'!$B$2:$B$513,B67,'原始数据'!$C$2:$C$513,-10))</x:f>
        <x:v>10.708586924931879</x:v>
      </x:c>
      <x:c r="D67" s="29" t="n">
        <x:f>'权重'!$B$2*SUMIFS('原始数据'!$D$2:$D$513,'原始数据'!$A$2:$A$513,A67,'原始数据'!$B$2:$B$513,B67,'原始数据'!$C$2:$C$513,0)+'权重'!$B$3*SUMIFS('原始数据'!$D$2:$D$513,'原始数据'!$A$2:$A$513,A67,'原始数据'!$B$2:$B$513,B67,'原始数据'!$C$2:$C$513,-10)</x:f>
        <x:v>10.896844188811434</x:v>
      </x:c>
    </x:row>
    <x:row r="68">
      <x:c r="A68" s="28" t="n">
        <x:v>18</x:v>
      </x:c>
      <x:c r="B68" s="28" t="n">
        <x:v>14</x:v>
      </x:c>
      <x:c r="C68" s="29" t="n">
        <x:f>ABS(SUMIFS('原始数据'!$D$2:$D$513,'原始数据'!$A$2:$A$513,A68,'原始数据'!$B$2:$B$513,B68,'原始数据'!$C$2:$C$513,0)-SUMIFS('原始数据'!$D$2:$D$513,'原始数据'!$A$2:$A$513,A68,'原始数据'!$B$2:$B$513,B68,'原始数据'!$C$2:$C$513,-10))</x:f>
        <x:v>13.08898108648362</x:v>
      </x:c>
      <x:c r="D68" s="29" t="n">
        <x:f>'权重'!$B$2*SUMIFS('原始数据'!$D$2:$D$513,'原始数据'!$A$2:$A$513,A68,'原始数据'!$B$2:$B$513,B68,'原始数据'!$C$2:$C$513,0)+'权重'!$B$3*SUMIFS('原始数据'!$D$2:$D$513,'原始数据'!$A$2:$A$513,A68,'原始数据'!$B$2:$B$513,B68,'原始数据'!$C$2:$C$513,-10)</x:f>
        <x:v>9.808978522115813</x:v>
      </x:c>
    </x:row>
    <x:row r="69">
      <x:c r="A69" s="28" t="n">
        <x:v>18</x:v>
      </x:c>
      <x:c r="B69" s="28" t="n">
        <x:v>16</x:v>
      </x:c>
      <x:c r="C69" s="29" t="n">
        <x:f>ABS(SUMIFS('原始数据'!$D$2:$D$513,'原始数据'!$A$2:$A$513,A69,'原始数据'!$B$2:$B$513,B69,'原始数据'!$C$2:$C$513,0)-SUMIFS('原始数据'!$D$2:$D$513,'原始数据'!$A$2:$A$513,A69,'原始数据'!$B$2:$B$513,B69,'原始数据'!$C$2:$C$513,-10))</x:f>
        <x:v>15.7729205431197</x:v>
      </x:c>
      <x:c r="D69" s="29" t="n">
        <x:f>'权重'!$B$2*SUMIFS('原始数据'!$D$2:$D$513,'原始数据'!$A$2:$A$513,A69,'原始数据'!$B$2:$B$513,B69,'原始数据'!$C$2:$C$513,0)+'权重'!$B$3*SUMIFS('原始数据'!$D$2:$D$513,'原始数据'!$A$2:$A$513,A69,'原始数据'!$B$2:$B$513,B69,'原始数据'!$C$2:$C$513,-10)</x:f>
        <x:v>8.680357758443488</x:v>
      </x:c>
    </x:row>
    <x:row r="70">
      <x:c r="A70" s="28" t="n">
        <x:v>18</x:v>
      </x:c>
      <x:c r="B70" s="28" t="n">
        <x:v>18</x:v>
      </x:c>
      <x:c r="C70" s="29" t="n">
        <x:f>ABS(SUMIFS('原始数据'!$D$2:$D$513,'原始数据'!$A$2:$A$513,A70,'原始数据'!$B$2:$B$513,B70,'原始数据'!$C$2:$C$513,0)-SUMIFS('原始数据'!$D$2:$D$513,'原始数据'!$A$2:$A$513,A70,'原始数据'!$B$2:$B$513,B70,'原始数据'!$C$2:$C$513,-10))</x:f>
        <x:v>17.096042580672428</x:v>
      </x:c>
      <x:c r="D70" s="29" t="n">
        <x:f>'权重'!$B$2*SUMIFS('原始数据'!$D$2:$D$513,'原始数据'!$A$2:$A$513,A70,'原始数据'!$B$2:$B$513,B70,'原始数据'!$C$2:$C$513,0)+'权重'!$B$3*SUMIFS('原始数据'!$D$2:$D$513,'原始数据'!$A$2:$A$513,A70,'原始数据'!$B$2:$B$513,B70,'原始数据'!$C$2:$C$513,-10)</x:f>
        <x:v>7.988659190188569</x:v>
      </x:c>
    </x:row>
    <x:row r="71">
      <x:c r="A71" s="28" t="n">
        <x:v>18</x:v>
      </x:c>
      <x:c r="B71" s="28" t="n">
        <x:v>20</x:v>
      </x:c>
      <x:c r="C71" s="29" t="n">
        <x:f>ABS(SUMIFS('原始数据'!$D$2:$D$513,'原始数据'!$A$2:$A$513,A71,'原始数据'!$B$2:$B$513,B71,'原始数据'!$C$2:$C$513,0)-SUMIFS('原始数据'!$D$2:$D$513,'原始数据'!$A$2:$A$513,A71,'原始数据'!$B$2:$B$513,B71,'原始数据'!$C$2:$C$513,-10))</x:f>
        <x:v>14.66798520372997</x:v>
      </x:c>
      <x:c r="D71" s="29" t="n">
        <x:f>'权重'!$B$2*SUMIFS('原始数据'!$D$2:$D$513,'原始数据'!$A$2:$A$513,A71,'原始数据'!$B$2:$B$513,B71,'原始数据'!$C$2:$C$513,0)+'权重'!$B$3*SUMIFS('原始数据'!$D$2:$D$513,'原始数据'!$A$2:$A$513,A71,'原始数据'!$B$2:$B$513,B71,'原始数据'!$C$2:$C$513,-10)</x:f>
        <x:v>8.628797467694907</x:v>
      </x:c>
    </x:row>
    <x:row r="72">
      <x:c r="A72" s="28" t="n">
        <x:v>18</x:v>
      </x:c>
      <x:c r="B72" s="28" t="n">
        <x:v>22</x:v>
      </x:c>
      <x:c r="C72" s="29" t="n">
        <x:f>ABS(SUMIFS('原始数据'!$D$2:$D$513,'原始数据'!$A$2:$A$513,A72,'原始数据'!$B$2:$B$513,B72,'原始数据'!$C$2:$C$513,0)-SUMIFS('原始数据'!$D$2:$D$513,'原始数据'!$A$2:$A$513,A72,'原始数据'!$B$2:$B$513,B72,'原始数据'!$C$2:$C$513,-10))</x:f>
        <x:v>14.92253751559827</x:v>
      </x:c>
      <x:c r="D72" s="29" t="n">
        <x:f>'权重'!$B$2*SUMIFS('原始数据'!$D$2:$D$513,'原始数据'!$A$2:$A$513,A72,'原始数据'!$B$2:$B$513,B72,'原始数据'!$C$2:$C$513,0)+'权重'!$B$3*SUMIFS('原始数据'!$D$2:$D$513,'原始数据'!$A$2:$A$513,A72,'原始数据'!$B$2:$B$513,B72,'原始数据'!$C$2:$C$513,-10)</x:f>
        <x:v>8.45932030688222</x:v>
      </x:c>
    </x:row>
    <x:row r="73">
      <x:c r="A73" s="28" t="n">
        <x:v>18</x:v>
      </x:c>
      <x:c r="B73" s="28" t="n">
        <x:v>24</x:v>
      </x:c>
      <x:c r="C73" s="29" t="n">
        <x:f>ABS(SUMIFS('原始数据'!$D$2:$D$513,'原始数据'!$A$2:$A$513,A73,'原始数据'!$B$2:$B$513,B73,'原始数据'!$C$2:$C$513,0)-SUMIFS('原始数据'!$D$2:$D$513,'原始数据'!$A$2:$A$513,A73,'原始数据'!$B$2:$B$513,B73,'原始数据'!$C$2:$C$513,-10))</x:f>
        <x:v>15.26712724302984</x:v>
      </x:c>
      <x:c r="D73" s="29" t="n">
        <x:f>'权重'!$B$2*SUMIFS('原始数据'!$D$2:$D$513,'原始数据'!$A$2:$A$513,A73,'原始数据'!$B$2:$B$513,B73,'原始数据'!$C$2:$C$513,0)+'权重'!$B$3*SUMIFS('原始数据'!$D$2:$D$513,'原始数据'!$A$2:$A$513,A73,'原始数据'!$B$2:$B$513,B73,'原始数据'!$C$2:$C$513,-10)</x:f>
        <x:v>8.321281844695847</x:v>
      </x:c>
    </x:row>
    <x:row r="74">
      <x:c r="A74" s="28" t="n">
        <x:v>18</x:v>
      </x:c>
      <x:c r="B74" s="28" t="n">
        <x:v>26</x:v>
      </x:c>
      <x:c r="C74" s="29" t="n">
        <x:f>ABS(SUMIFS('原始数据'!$D$2:$D$513,'原始数据'!$A$2:$A$513,A74,'原始数据'!$B$2:$B$513,B74,'原始数据'!$C$2:$C$513,0)-SUMIFS('原始数据'!$D$2:$D$513,'原始数据'!$A$2:$A$513,A74,'原始数据'!$B$2:$B$513,B74,'原始数据'!$C$2:$C$513,-10))</x:f>
        <x:v>15.301996644077791</x:v>
      </x:c>
      <x:c r="D74" s="29" t="n">
        <x:f>'权重'!$B$2*SUMIFS('原始数据'!$D$2:$D$513,'原始数据'!$A$2:$A$513,A74,'原始数据'!$B$2:$B$513,B74,'原始数据'!$C$2:$C$513,0)+'权重'!$B$3*SUMIFS('原始数据'!$D$2:$D$513,'原始数据'!$A$2:$A$513,A74,'原始数据'!$B$2:$B$513,B74,'原始数据'!$C$2:$C$513,-10)</x:f>
        <x:v>8.212430248166863</x:v>
      </x:c>
    </x:row>
    <x:row r="75">
      <x:c r="A75" s="28" t="n">
        <x:v>18</x:v>
      </x:c>
      <x:c r="B75" s="28" t="n">
        <x:v>28</x:v>
      </x:c>
      <x:c r="C75" s="29" t="n">
        <x:f>ABS(SUMIFS('原始数据'!$D$2:$D$513,'原始数据'!$A$2:$A$513,A75,'原始数据'!$B$2:$B$513,B75,'原始数据'!$C$2:$C$513,0)-SUMIFS('原始数据'!$D$2:$D$513,'原始数据'!$A$2:$A$513,A75,'原始数据'!$B$2:$B$513,B75,'原始数据'!$C$2:$C$513,-10))</x:f>
        <x:v>15.311191430869428</x:v>
      </x:c>
      <x:c r="D75" s="29" t="n">
        <x:f>'权重'!$B$2*SUMIFS('原始数据'!$D$2:$D$513,'原始数据'!$A$2:$A$513,A75,'原始数据'!$B$2:$B$513,B75,'原始数据'!$C$2:$C$513,0)+'权重'!$B$3*SUMIFS('原始数据'!$D$2:$D$513,'原始数据'!$A$2:$A$513,A75,'原始数据'!$B$2:$B$513,B75,'原始数据'!$C$2:$C$513,-10)</x:f>
        <x:v>8.236360418744669</x:v>
      </x:c>
    </x:row>
    <x:row r="76">
      <x:c r="A76" s="28" t="n">
        <x:v>18</x:v>
      </x:c>
      <x:c r="B76" s="28" t="n">
        <x:v>30</x:v>
      </x:c>
      <x:c r="C76" s="29" t="n">
        <x:f>ABS(SUMIFS('原始数据'!$D$2:$D$513,'原始数据'!$A$2:$A$513,A76,'原始数据'!$B$2:$B$513,B76,'原始数据'!$C$2:$C$513,0)-SUMIFS('原始数据'!$D$2:$D$513,'原始数据'!$A$2:$A$513,A76,'原始数据'!$B$2:$B$513,B76,'原始数据'!$C$2:$C$513,-10))</x:f>
        <x:v>15.12392127634568</x:v>
      </x:c>
      <x:c r="D76" s="29" t="n">
        <x:f>'权重'!$B$2*SUMIFS('原始数据'!$D$2:$D$513,'原始数据'!$A$2:$A$513,A76,'原始数据'!$B$2:$B$513,B76,'原始数据'!$C$2:$C$513,0)+'权重'!$B$3*SUMIFS('原始数据'!$D$2:$D$513,'原始数据'!$A$2:$A$513,A76,'原始数据'!$B$2:$B$513,B76,'原始数据'!$C$2:$C$513,-10)</x:f>
        <x:v>8.244543557309497</x:v>
      </x:c>
    </x:row>
    <x:row r="77">
      <x:c r="A77" s="28" t="n">
        <x:v>18</x:v>
      </x:c>
      <x:c r="B77" s="28" t="n">
        <x:v>32</x:v>
      </x:c>
      <x:c r="C77" s="29" t="n">
        <x:f>ABS(SUMIFS('原始数据'!$D$2:$D$513,'原始数据'!$A$2:$A$513,A77,'原始数据'!$B$2:$B$513,B77,'原始数据'!$C$2:$C$513,0)-SUMIFS('原始数据'!$D$2:$D$513,'原始数据'!$A$2:$A$513,A77,'原始数据'!$B$2:$B$513,B77,'原始数据'!$C$2:$C$513,-10))</x:f>
        <x:v>14.20856459549119</x:v>
      </x:c>
      <x:c r="D77" s="29" t="n">
        <x:f>'权重'!$B$2*SUMIFS('原始数据'!$D$2:$D$513,'原始数据'!$A$2:$A$513,A77,'原始数据'!$B$2:$B$513,B77,'原始数据'!$C$2:$C$513,0)+'权重'!$B$3*SUMIFS('原始数据'!$D$2:$D$513,'原始数据'!$A$2:$A$513,A77,'原始数据'!$B$2:$B$513,B77,'原始数据'!$C$2:$C$513,-10)</x:f>
        <x:v>8.602896555682742</x:v>
      </x:c>
    </x:row>
    <x:row r="78">
      <x:c r="A78" s="28" t="n">
        <x:v>18</x:v>
      </x:c>
      <x:c r="B78" s="28" t="n">
        <x:v>34</x:v>
      </x:c>
      <x:c r="C78" s="29" t="n">
        <x:f>ABS(SUMIFS('原始数据'!$D$2:$D$513,'原始数据'!$A$2:$A$513,A78,'原始数据'!$B$2:$B$513,B78,'原始数据'!$C$2:$C$513,0)-SUMIFS('原始数据'!$D$2:$D$513,'原始数据'!$A$2:$A$513,A78,'原始数据'!$B$2:$B$513,B78,'原始数据'!$C$2:$C$513,-10))</x:f>
        <x:v>13.27590620798449</x:v>
      </x:c>
      <x:c r="D78" s="29" t="n">
        <x:f>'权重'!$B$2*SUMIFS('原始数据'!$D$2:$D$513,'原始数据'!$A$2:$A$513,A78,'原始数据'!$B$2:$B$513,B78,'原始数据'!$C$2:$C$513,0)+'权重'!$B$3*SUMIFS('原始数据'!$D$2:$D$513,'原始数据'!$A$2:$A$513,A78,'原始数据'!$B$2:$B$513,B78,'原始数据'!$C$2:$C$513,-10)</x:f>
        <x:v>8.928198719853752</x:v>
      </x:c>
    </x:row>
    <x:row r="79">
      <x:c r="A79" s="28" t="n">
        <x:v>18</x:v>
      </x:c>
      <x:c r="B79" s="28" t="n">
        <x:v>36</x:v>
      </x:c>
      <x:c r="C79" s="29" t="n">
        <x:f>ABS(SUMIFS('原始数据'!$D$2:$D$513,'原始数据'!$A$2:$A$513,A79,'原始数据'!$B$2:$B$513,B79,'原始数据'!$C$2:$C$513,0)-SUMIFS('原始数据'!$D$2:$D$513,'原始数据'!$A$2:$A$513,A79,'原始数据'!$B$2:$B$513,B79,'原始数据'!$C$2:$C$513,-10))</x:f>
        <x:v>12.64187911444734</x:v>
      </x:c>
      <x:c r="D79" s="29" t="n">
        <x:f>'权重'!$B$2*SUMIFS('原始数据'!$D$2:$D$513,'原始数据'!$A$2:$A$513,A79,'原始数据'!$B$2:$B$513,B79,'原始数据'!$C$2:$C$513,0)+'权重'!$B$3*SUMIFS('原始数据'!$D$2:$D$513,'原始数据'!$A$2:$A$513,A79,'原始数据'!$B$2:$B$513,B79,'原始数据'!$C$2:$C$513,-10)</x:f>
        <x:v>9.202438032283197</x:v>
      </x:c>
    </x:row>
    <x:row r="80">
      <x:c r="A80" s="28" t="n">
        <x:v>18</x:v>
      </x:c>
      <x:c r="B80" s="28" t="n">
        <x:v>38</x:v>
      </x:c>
      <x:c r="C80" s="29" t="n">
        <x:f>ABS(SUMIFS('原始数据'!$D$2:$D$513,'原始数据'!$A$2:$A$513,A80,'原始数据'!$B$2:$B$513,B80,'原始数据'!$C$2:$C$513,0)-SUMIFS('原始数据'!$D$2:$D$513,'原始数据'!$A$2:$A$513,A80,'原始数据'!$B$2:$B$513,B80,'原始数据'!$C$2:$C$513,-10))</x:f>
        <x:v>12.134538136854278</x:v>
      </x:c>
      <x:c r="D80" s="29" t="n">
        <x:f>'权重'!$B$2*SUMIFS('原始数据'!$D$2:$D$513,'原始数据'!$A$2:$A$513,A80,'原始数据'!$B$2:$B$513,B80,'原始数据'!$C$2:$C$513,0)+'权重'!$B$3*SUMIFS('原始数据'!$D$2:$D$513,'原始数据'!$A$2:$A$513,A80,'原始数据'!$B$2:$B$513,B80,'原始数据'!$C$2:$C$513,-10)</x:f>
        <x:v>9.165007233224417</x:v>
      </x:c>
    </x:row>
    <x:row r="81">
      <x:c r="A81" s="28" t="n">
        <x:v>18</x:v>
      </x:c>
      <x:c r="B81" s="28" t="n">
        <x:v>40</x:v>
      </x:c>
      <x:c r="C81" s="29" t="n">
        <x:f>ABS(SUMIFS('原始数据'!$D$2:$D$513,'原始数据'!$A$2:$A$513,A81,'原始数据'!$B$2:$B$513,B81,'原始数据'!$C$2:$C$513,0)-SUMIFS('原始数据'!$D$2:$D$513,'原始数据'!$A$2:$A$513,A81,'原始数据'!$B$2:$B$513,B81,'原始数据'!$C$2:$C$513,-10))</x:f>
        <x:v>8.592532847326577</x:v>
      </x:c>
      <x:c r="D81" s="29" t="n">
        <x:f>'权重'!$B$2*SUMIFS('原始数据'!$D$2:$D$513,'原始数据'!$A$2:$A$513,A81,'原始数据'!$B$2:$B$513,B81,'原始数据'!$C$2:$C$513,0)+'权重'!$B$3*SUMIFS('原始数据'!$D$2:$D$513,'原始数据'!$A$2:$A$513,A81,'原始数据'!$B$2:$B$513,B81,'原始数据'!$C$2:$C$513,-10)</x:f>
        <x:v>6.975519934516617</x:v>
      </x:c>
    </x:row>
    <x:row r="82">
      <x:c r="A82" s="28" t="n">
        <x:v>20</x:v>
      </x:c>
      <x:c r="B82" s="28" t="n">
        <x:v>10</x:v>
      </x:c>
      <x:c r="C82" s="29" t="n">
        <x:f>ABS(SUMIFS('原始数据'!$D$2:$D$513,'原始数据'!$A$2:$A$513,A82,'原始数据'!$B$2:$B$513,B82,'原始数据'!$C$2:$C$513,0)-SUMIFS('原始数据'!$D$2:$D$513,'原始数据'!$A$2:$A$513,A82,'原始数据'!$B$2:$B$513,B82,'原始数据'!$C$2:$C$513,-10))</x:f>
        <x:v>6.08843865752597</x:v>
      </x:c>
      <x:c r="D82" s="29" t="n">
        <x:f>'权重'!$B$2*SUMIFS('原始数据'!$D$2:$D$513,'原始数据'!$A$2:$A$513,A82,'原始数据'!$B$2:$B$513,B82,'原始数据'!$C$2:$C$513,0)+'权重'!$B$3*SUMIFS('原始数据'!$D$2:$D$513,'原始数据'!$A$2:$A$513,A82,'原始数据'!$B$2:$B$513,B82,'原始数据'!$C$2:$C$513,-10)</x:f>
        <x:v>9.960765297702107</x:v>
      </x:c>
    </x:row>
    <x:row r="83">
      <x:c r="A83" s="28" t="n">
        <x:v>20</x:v>
      </x:c>
      <x:c r="B83" s="28" t="n">
        <x:v>12</x:v>
      </x:c>
      <x:c r="C83" s="29" t="n">
        <x:f>ABS(SUMIFS('原始数据'!$D$2:$D$513,'原始数据'!$A$2:$A$513,A83,'原始数据'!$B$2:$B$513,B83,'原始数据'!$C$2:$C$513,0)-SUMIFS('原始数据'!$D$2:$D$513,'原始数据'!$A$2:$A$513,A83,'原始数据'!$B$2:$B$513,B83,'原始数据'!$C$2:$C$513,-10))</x:f>
        <x:v>10.863724785095469</x:v>
      </x:c>
      <x:c r="D83" s="29" t="n">
        <x:f>'权重'!$B$2*SUMIFS('原始数据'!$D$2:$D$513,'原始数据'!$A$2:$A$513,A83,'原始数据'!$B$2:$B$513,B83,'原始数据'!$C$2:$C$513,0)+'权重'!$B$3*SUMIFS('原始数据'!$D$2:$D$513,'原始数据'!$A$2:$A$513,A83,'原始数据'!$B$2:$B$513,B83,'原始数据'!$C$2:$C$513,-10)</x:f>
        <x:v>11.157179991230059</x:v>
      </x:c>
    </x:row>
    <x:row r="84">
      <x:c r="A84" s="28" t="n">
        <x:v>20</x:v>
      </x:c>
      <x:c r="B84" s="28" t="n">
        <x:v>14</x:v>
      </x:c>
      <x:c r="C84" s="29" t="n">
        <x:f>ABS(SUMIFS('原始数据'!$D$2:$D$513,'原始数据'!$A$2:$A$513,A84,'原始数据'!$B$2:$B$513,B84,'原始数据'!$C$2:$C$513,0)-SUMIFS('原始数据'!$D$2:$D$513,'原始数据'!$A$2:$A$513,A84,'原始数据'!$B$2:$B$513,B84,'原始数据'!$C$2:$C$513,-10))</x:f>
        <x:v>12.86871905181552</x:v>
      </x:c>
      <x:c r="D84" s="29" t="n">
        <x:f>'权重'!$B$2*SUMIFS('原始数据'!$D$2:$D$513,'原始数据'!$A$2:$A$513,A84,'原始数据'!$B$2:$B$513,B84,'原始数据'!$C$2:$C$513,0)+'权重'!$B$3*SUMIFS('原始数据'!$D$2:$D$513,'原始数据'!$A$2:$A$513,A84,'原始数据'!$B$2:$B$513,B84,'原始数据'!$C$2:$C$513,-10)</x:f>
        <x:v>10.208619119194742</x:v>
      </x:c>
    </x:row>
    <x:row r="85">
      <x:c r="A85" s="28" t="n">
        <x:v>20</x:v>
      </x:c>
      <x:c r="B85" s="28" t="n">
        <x:v>16</x:v>
      </x:c>
      <x:c r="C85" s="29" t="n">
        <x:f>ABS(SUMIFS('原始数据'!$D$2:$D$513,'原始数据'!$A$2:$A$513,A85,'原始数据'!$B$2:$B$513,B85,'原始数据'!$C$2:$C$513,0)-SUMIFS('原始数据'!$D$2:$D$513,'原始数据'!$A$2:$A$513,A85,'原始数据'!$B$2:$B$513,B85,'原始数据'!$C$2:$C$513,-10))</x:f>
        <x:v>15.246318739053901</x:v>
      </x:c>
      <x:c r="D85" s="29" t="n">
        <x:f>'权重'!$B$2*SUMIFS('原始数据'!$D$2:$D$513,'原始数据'!$A$2:$A$513,A85,'原始数据'!$B$2:$B$513,B85,'原始数据'!$C$2:$C$513,0)+'权重'!$B$3*SUMIFS('原始数据'!$D$2:$D$513,'原始数据'!$A$2:$A$513,A85,'原始数据'!$B$2:$B$513,B85,'原始数据'!$C$2:$C$513,-10)</x:f>
        <x:v>9.06022497452553</x:v>
      </x:c>
    </x:row>
    <x:row r="86">
      <x:c r="A86" s="28" t="n">
        <x:v>20</x:v>
      </x:c>
      <x:c r="B86" s="28" t="n">
        <x:v>18</x:v>
      </x:c>
      <x:c r="C86" s="29" t="n">
        <x:f>ABS(SUMIFS('原始数据'!$D$2:$D$513,'原始数据'!$A$2:$A$513,A86,'原始数据'!$B$2:$B$513,B86,'原始数据'!$C$2:$C$513,0)-SUMIFS('原始数据'!$D$2:$D$513,'原始数据'!$A$2:$A$513,A86,'原始数据'!$B$2:$B$513,B86,'原始数据'!$C$2:$C$513,-10))</x:f>
        <x:v>17.37906213755909</x:v>
      </x:c>
      <x:c r="D86" s="29" t="n">
        <x:f>'权重'!$B$2*SUMIFS('原始数据'!$D$2:$D$513,'原始数据'!$A$2:$A$513,A86,'原始数据'!$B$2:$B$513,B86,'原始数据'!$C$2:$C$513,0)+'权重'!$B$3*SUMIFS('原始数据'!$D$2:$D$513,'原始数据'!$A$2:$A$513,A86,'原始数据'!$B$2:$B$513,B86,'原始数据'!$C$2:$C$513,-10)</x:f>
        <x:v>8.175954915998073</x:v>
      </x:c>
    </x:row>
    <x:row r="87">
      <x:c r="A87" s="28" t="n">
        <x:v>20</x:v>
      </x:c>
      <x:c r="B87" s="28" t="n">
        <x:v>20</x:v>
      </x:c>
      <x:c r="C87" s="29" t="n">
        <x:f>ABS(SUMIFS('原始数据'!$D$2:$D$513,'原始数据'!$A$2:$A$513,A87,'原始数据'!$B$2:$B$513,B87,'原始数据'!$C$2:$C$513,0)-SUMIFS('原始数据'!$D$2:$D$513,'原始数据'!$A$2:$A$513,A87,'原始数据'!$B$2:$B$513,B87,'原始数据'!$C$2:$C$513,-10))</x:f>
        <x:v>15.42640013021284</x:v>
      </x:c>
      <x:c r="D87" s="29" t="n">
        <x:f>'权重'!$B$2*SUMIFS('原始数据'!$D$2:$D$513,'原始数据'!$A$2:$A$513,A87,'原始数据'!$B$2:$B$513,B87,'原始数据'!$C$2:$C$513,0)+'权重'!$B$3*SUMIFS('原始数据'!$D$2:$D$513,'原始数据'!$A$2:$A$513,A87,'原始数据'!$B$2:$B$513,B87,'原始数据'!$C$2:$C$513,-10)</x:f>
        <x:v>8.555895390557048</x:v>
      </x:c>
    </x:row>
    <x:row r="88">
      <x:c r="A88" s="28" t="n">
        <x:v>20</x:v>
      </x:c>
      <x:c r="B88" s="28" t="n">
        <x:v>22</x:v>
      </x:c>
      <x:c r="C88" s="29" t="n">
        <x:f>ABS(SUMIFS('原始数据'!$D$2:$D$513,'原始数据'!$A$2:$A$513,A88,'原始数据'!$B$2:$B$513,B88,'原始数据'!$C$2:$C$513,0)-SUMIFS('原始数据'!$D$2:$D$513,'原始数据'!$A$2:$A$513,A88,'原始数据'!$B$2:$B$513,B88,'原始数据'!$C$2:$C$513,-10))</x:f>
        <x:v>14.29140839644141</x:v>
      </x:c>
      <x:c r="D88" s="29" t="n">
        <x:f>'权重'!$B$2*SUMIFS('原始数据'!$D$2:$D$513,'原始数据'!$A$2:$A$513,A88,'原始数据'!$B$2:$B$513,B88,'原始数据'!$C$2:$C$513,0)+'权重'!$B$3*SUMIFS('原始数据'!$D$2:$D$513,'原始数据'!$A$2:$A$513,A88,'原始数据'!$B$2:$B$513,B88,'原始数据'!$C$2:$C$513,-10)</x:f>
        <x:v>8.719707791290176</x:v>
      </x:c>
    </x:row>
    <x:row r="89">
      <x:c r="A89" s="28" t="n">
        <x:v>20</x:v>
      </x:c>
      <x:c r="B89" s="28" t="n">
        <x:v>24</x:v>
      </x:c>
      <x:c r="C89" s="29" t="n">
        <x:f>ABS(SUMIFS('原始数据'!$D$2:$D$513,'原始数据'!$A$2:$A$513,A89,'原始数据'!$B$2:$B$513,B89,'原始数据'!$C$2:$C$513,0)-SUMIFS('原始数据'!$D$2:$D$513,'原始数据'!$A$2:$A$513,A89,'原始数据'!$B$2:$B$513,B89,'原始数据'!$C$2:$C$513,-10))</x:f>
        <x:v>14.748692915576111</x:v>
      </x:c>
      <x:c r="D89" s="29" t="n">
        <x:f>'权重'!$B$2*SUMIFS('原始数据'!$D$2:$D$513,'原始数据'!$A$2:$A$513,A89,'原始数据'!$B$2:$B$513,B89,'原始数据'!$C$2:$C$513,0)+'权重'!$B$3*SUMIFS('原始数据'!$D$2:$D$513,'原始数据'!$A$2:$A$513,A89,'原始数据'!$B$2:$B$513,B89,'原始数据'!$C$2:$C$513,-10)</x:f>
        <x:v>8.517950116173767</x:v>
      </x:c>
    </x:row>
    <x:row r="90">
      <x:c r="A90" s="28" t="n">
        <x:v>20</x:v>
      </x:c>
      <x:c r="B90" s="28" t="n">
        <x:v>26</x:v>
      </x:c>
      <x:c r="C90" s="29" t="n">
        <x:f>ABS(SUMIFS('原始数据'!$D$2:$D$513,'原始数据'!$A$2:$A$513,A90,'原始数据'!$B$2:$B$513,B90,'原始数据'!$C$2:$C$513,0)-SUMIFS('原始数据'!$D$2:$D$513,'原始数据'!$A$2:$A$513,A90,'原始数据'!$B$2:$B$513,B90,'原始数据'!$C$2:$C$513,-10))</x:f>
        <x:v>15.08593496155138</x:v>
      </x:c>
      <x:c r="D90" s="29" t="n">
        <x:f>'权重'!$B$2*SUMIFS('原始数据'!$D$2:$D$513,'原始数据'!$A$2:$A$513,A90,'原始数据'!$B$2:$B$513,B90,'原始数据'!$C$2:$C$513,0)+'权重'!$B$3*SUMIFS('原始数据'!$D$2:$D$513,'原始数据'!$A$2:$A$513,A90,'原始数据'!$B$2:$B$513,B90,'原始数据'!$C$2:$C$513,-10)</x:f>
        <x:v>8.417130601071285</x:v>
      </x:c>
    </x:row>
    <x:row r="91">
      <x:c r="A91" s="28" t="n">
        <x:v>20</x:v>
      </x:c>
      <x:c r="B91" s="28" t="n">
        <x:v>28</x:v>
      </x:c>
      <x:c r="C91" s="29" t="n">
        <x:f>ABS(SUMIFS('原始数据'!$D$2:$D$513,'原始数据'!$A$2:$A$513,A91,'原始数据'!$B$2:$B$513,B91,'原始数据'!$C$2:$C$513,0)-SUMIFS('原始数据'!$D$2:$D$513,'原始数据'!$A$2:$A$513,A91,'原始数据'!$B$2:$B$513,B91,'原始数据'!$C$2:$C$513,-10))</x:f>
        <x:v>15.02836142821729</x:v>
      </x:c>
      <x:c r="D91" s="29" t="n">
        <x:f>'权重'!$B$2*SUMIFS('原始数据'!$D$2:$D$513,'原始数据'!$A$2:$A$513,A91,'原始数据'!$B$2:$B$513,B91,'原始数据'!$C$2:$C$513,0)+'权重'!$B$3*SUMIFS('原始数据'!$D$2:$D$513,'原始数据'!$A$2:$A$513,A91,'原始数据'!$B$2:$B$513,B91,'原始数据'!$C$2:$C$513,-10)</x:f>
        <x:v>8.359834017663012</x:v>
      </x:c>
    </x:row>
    <x:row r="92">
      <x:c r="A92" s="28" t="n">
        <x:v>20</x:v>
      </x:c>
      <x:c r="B92" s="28" t="n">
        <x:v>30</x:v>
      </x:c>
      <x:c r="C92" s="29" t="n">
        <x:f>ABS(SUMIFS('原始数据'!$D$2:$D$513,'原始数据'!$A$2:$A$513,A92,'原始数据'!$B$2:$B$513,B92,'原始数据'!$C$2:$C$513,0)-SUMIFS('原始数据'!$D$2:$D$513,'原始数据'!$A$2:$A$513,A92,'原始数据'!$B$2:$B$513,B92,'原始数据'!$C$2:$C$513,-10))</x:f>
        <x:v>15.15743151100976</x:v>
      </x:c>
      <x:c r="D92" s="29" t="n">
        <x:f>'权重'!$B$2*SUMIFS('原始数据'!$D$2:$D$513,'原始数据'!$A$2:$A$513,A92,'原始数据'!$B$2:$B$513,B92,'原始数据'!$C$2:$C$513,0)+'权重'!$B$3*SUMIFS('原始数据'!$D$2:$D$513,'原始数据'!$A$2:$A$513,A92,'原始数据'!$B$2:$B$513,B92,'原始数据'!$C$2:$C$513,-10)</x:f>
        <x:v>8.312338718334672</x:v>
      </x:c>
    </x:row>
    <x:row r="93">
      <x:c r="A93" s="28" t="n">
        <x:v>20</x:v>
      </x:c>
      <x:c r="B93" s="28" t="n">
        <x:v>32</x:v>
      </x:c>
      <x:c r="C93" s="29" t="n">
        <x:f>ABS(SUMIFS('原始数据'!$D$2:$D$513,'原始数据'!$A$2:$A$513,A93,'原始数据'!$B$2:$B$513,B93,'原始数据'!$C$2:$C$513,0)-SUMIFS('原始数据'!$D$2:$D$513,'原始数据'!$A$2:$A$513,A93,'原始数据'!$B$2:$B$513,B93,'原始数据'!$C$2:$C$513,-10))</x:f>
        <x:v>14.53951559482043</x:v>
      </x:c>
      <x:c r="D93" s="29" t="n">
        <x:f>'权重'!$B$2*SUMIFS('原始数据'!$D$2:$D$513,'原始数据'!$A$2:$A$513,A93,'原始数据'!$B$2:$B$513,B93,'原始数据'!$C$2:$C$513,0)+'权重'!$B$3*SUMIFS('原始数据'!$D$2:$D$513,'原始数据'!$A$2:$A$513,A93,'原始数据'!$B$2:$B$513,B93,'原始数据'!$C$2:$C$513,-10)</x:f>
        <x:v>8.53913868229467</x:v>
      </x:c>
    </x:row>
    <x:row r="94">
      <x:c r="A94" s="28" t="n">
        <x:v>20</x:v>
      </x:c>
      <x:c r="B94" s="28" t="n">
        <x:v>34</x:v>
      </x:c>
      <x:c r="C94" s="29" t="n">
        <x:f>ABS(SUMIFS('原始数据'!$D$2:$D$513,'原始数据'!$A$2:$A$513,A94,'原始数据'!$B$2:$B$513,B94,'原始数据'!$C$2:$C$513,0)-SUMIFS('原始数据'!$D$2:$D$513,'原始数据'!$A$2:$A$513,A94,'原始数据'!$B$2:$B$513,B94,'原始数据'!$C$2:$C$513,-10))</x:f>
        <x:v>13.560748745952997</x:v>
      </x:c>
      <x:c r="D94" s="29" t="n">
        <x:f>'权重'!$B$2*SUMIFS('原始数据'!$D$2:$D$513,'原始数据'!$A$2:$A$513,A94,'原始数据'!$B$2:$B$513,B94,'原始数据'!$C$2:$C$513,0)+'权重'!$B$3*SUMIFS('原始数据'!$D$2:$D$513,'原始数据'!$A$2:$A$513,A94,'原始数据'!$B$2:$B$513,B94,'原始数据'!$C$2:$C$513,-10)</x:f>
        <x:v>8.8707059252413</x:v>
      </x:c>
    </x:row>
    <x:row r="95">
      <x:c r="A95" s="28" t="n">
        <x:v>20</x:v>
      </x:c>
      <x:c r="B95" s="28" t="n">
        <x:v>36</x:v>
      </x:c>
      <x:c r="C95" s="29" t="n">
        <x:f>ABS(SUMIFS('原始数据'!$D$2:$D$513,'原始数据'!$A$2:$A$513,A95,'原始数据'!$B$2:$B$513,B95,'原始数据'!$C$2:$C$513,0)-SUMIFS('原始数据'!$D$2:$D$513,'原始数据'!$A$2:$A$513,A95,'原始数据'!$B$2:$B$513,B95,'原始数据'!$C$2:$C$513,-10))</x:f>
        <x:v>12.865226221130705</x:v>
      </x:c>
      <x:c r="D95" s="29" t="n">
        <x:f>'权重'!$B$2*SUMIFS('原始数据'!$D$2:$D$513,'原始数据'!$A$2:$A$513,A95,'原始数据'!$B$2:$B$513,B95,'原始数据'!$C$2:$C$513,0)+'权重'!$B$3*SUMIFS('原始数据'!$D$2:$D$513,'原始数据'!$A$2:$A$513,A95,'原始数据'!$B$2:$B$513,B95,'原始数据'!$C$2:$C$513,-10)</x:f>
        <x:v>9.174997248498787</x:v>
      </x:c>
    </x:row>
    <x:row r="96">
      <x:c r="A96" s="28" t="n">
        <x:v>20</x:v>
      </x:c>
      <x:c r="B96" s="28" t="n">
        <x:v>38</x:v>
      </x:c>
      <x:c r="C96" s="29" t="n">
        <x:f>ABS(SUMIFS('原始数据'!$D$2:$D$513,'原始数据'!$A$2:$A$513,A96,'原始数据'!$B$2:$B$513,B96,'原始数据'!$C$2:$C$513,0)-SUMIFS('原始数据'!$D$2:$D$513,'原始数据'!$A$2:$A$513,A96,'原始数据'!$B$2:$B$513,B96,'原始数据'!$C$2:$C$513,-10))</x:f>
        <x:v>12.297290215773552</x:v>
      </x:c>
      <x:c r="D96" s="29" t="n">
        <x:f>'权重'!$B$2*SUMIFS('原始数据'!$D$2:$D$513,'原始数据'!$A$2:$A$513,A96,'原始数据'!$B$2:$B$513,B96,'原始数据'!$C$2:$C$513,0)+'权重'!$B$3*SUMIFS('原始数据'!$D$2:$D$513,'原始数据'!$A$2:$A$513,A96,'原始数据'!$B$2:$B$513,B96,'原始数据'!$C$2:$C$513,-10)</x:f>
        <x:v>9.270670584791834</x:v>
      </x:c>
    </x:row>
    <x:row r="97">
      <x:c r="A97" s="28" t="n">
        <x:v>20</x:v>
      </x:c>
      <x:c r="B97" s="28" t="n">
        <x:v>40</x:v>
      </x:c>
      <x:c r="C97" s="29" t="n">
        <x:f>ABS(SUMIFS('原始数据'!$D$2:$D$513,'原始数据'!$A$2:$A$513,A97,'原始数据'!$B$2:$B$513,B97,'原始数据'!$C$2:$C$513,0)-SUMIFS('原始数据'!$D$2:$D$513,'原始数据'!$A$2:$A$513,A97,'原始数据'!$B$2:$B$513,B97,'原始数据'!$C$2:$C$513,-10))</x:f>
        <x:v>10.61992744064234</x:v>
      </x:c>
      <x:c r="D97" s="29" t="n">
        <x:f>'权重'!$B$2*SUMIFS('原始数据'!$D$2:$D$513,'原始数据'!$A$2:$A$513,A97,'原始数据'!$B$2:$B$513,B97,'原始数据'!$C$2:$C$513,0)+'权重'!$B$3*SUMIFS('原始数据'!$D$2:$D$513,'原始数据'!$A$2:$A$513,A97,'原始数据'!$B$2:$B$513,B97,'原始数据'!$C$2:$C$513,-10)</x:f>
        <x:v>8.430757791918998</x:v>
      </x:c>
    </x:row>
    <x:row r="98">
      <x:c r="A98" s="28" t="n">
        <x:v>22</x:v>
      </x:c>
      <x:c r="B98" s="28" t="n">
        <x:v>10</x:v>
      </x:c>
      <x:c r="C98" s="29" t="n">
        <x:f>ABS(SUMIFS('原始数据'!$D$2:$D$513,'原始数据'!$A$2:$A$513,A98,'原始数据'!$B$2:$B$513,B98,'原始数据'!$C$2:$C$513,0)-SUMIFS('原始数据'!$D$2:$D$513,'原始数据'!$A$2:$A$513,A98,'原始数据'!$B$2:$B$513,B98,'原始数据'!$C$2:$C$513,-10))</x:f>
        <x:v>0.8203318873990106</x:v>
      </x:c>
      <x:c r="D98" s="29" t="n">
        <x:f>'权重'!$B$2*SUMIFS('原始数据'!$D$2:$D$513,'原始数据'!$A$2:$A$513,A98,'原始数据'!$B$2:$B$513,B98,'原始数据'!$C$2:$C$513,0)+'权重'!$B$3*SUMIFS('原始数据'!$D$2:$D$513,'原始数据'!$A$2:$A$513,A98,'原始数据'!$B$2:$B$513,B98,'原始数据'!$C$2:$C$513,-10)</x:f>
        <x:v>8.244800266180553</x:v>
      </x:c>
    </x:row>
    <x:row r="99">
      <x:c r="A99" s="28" t="n">
        <x:v>22</x:v>
      </x:c>
      <x:c r="B99" s="28" t="n">
        <x:v>12</x:v>
      </x:c>
      <x:c r="C99" s="29" t="n">
        <x:f>ABS(SUMIFS('原始数据'!$D$2:$D$513,'原始数据'!$A$2:$A$513,A99,'原始数据'!$B$2:$B$513,B99,'原始数据'!$C$2:$C$513,0)-SUMIFS('原始数据'!$D$2:$D$513,'原始数据'!$A$2:$A$513,A99,'原始数据'!$B$2:$B$513,B99,'原始数据'!$C$2:$C$513,-10))</x:f>
        <x:v>7.21096147418516</x:v>
      </x:c>
      <x:c r="D99" s="29" t="n">
        <x:f>'权重'!$B$2*SUMIFS('原始数据'!$D$2:$D$513,'原始数据'!$A$2:$A$513,A99,'原始数据'!$B$2:$B$513,B99,'原始数据'!$C$2:$C$513,0)+'权重'!$B$3*SUMIFS('原始数据'!$D$2:$D$513,'原始数据'!$A$2:$A$513,A99,'原始数据'!$B$2:$B$513,B99,'原始数据'!$C$2:$C$513,-10)</x:f>
        <x:v>11.952113666686753</x:v>
      </x:c>
    </x:row>
    <x:row r="100">
      <x:c r="A100" s="28" t="n">
        <x:v>22</x:v>
      </x:c>
      <x:c r="B100" s="28" t="n">
        <x:v>14</x:v>
      </x:c>
      <x:c r="C100" s="29" t="n">
        <x:f>ABS(SUMIFS('原始数据'!$D$2:$D$513,'原始数据'!$A$2:$A$513,A100,'原始数据'!$B$2:$B$513,B100,'原始数据'!$C$2:$C$513,0)-SUMIFS('原始数据'!$D$2:$D$513,'原始数据'!$A$2:$A$513,A100,'原始数据'!$B$2:$B$513,B100,'原始数据'!$C$2:$C$513,-10))</x:f>
        <x:v>9.529692869012319</x:v>
      </x:c>
      <x:c r="D100" s="29" t="n">
        <x:f>'权重'!$B$2*SUMIFS('原始数据'!$D$2:$D$513,'原始数据'!$A$2:$A$513,A100,'原始数据'!$B$2:$B$513,B100,'原始数据'!$C$2:$C$513,0)+'权重'!$B$3*SUMIFS('原始数据'!$D$2:$D$513,'原始数据'!$A$2:$A$513,A100,'原始数据'!$B$2:$B$513,B100,'原始数据'!$C$2:$C$513,-10)</x:f>
        <x:v>11.546593068142904</x:v>
      </x:c>
    </x:row>
    <x:row r="101">
      <x:c r="A101" s="28" t="n">
        <x:v>22</x:v>
      </x:c>
      <x:c r="B101" s="28" t="n">
        <x:v>16</x:v>
      </x:c>
      <x:c r="C101" s="29" t="n">
        <x:f>ABS(SUMIFS('原始数据'!$D$2:$D$513,'原始数据'!$A$2:$A$513,A101,'原始数据'!$B$2:$B$513,B101,'原始数据'!$C$2:$C$513,0)-SUMIFS('原始数据'!$D$2:$D$513,'原始数据'!$A$2:$A$513,A101,'原始数据'!$B$2:$B$513,B101,'原始数据'!$C$2:$C$513,-10))</x:f>
        <x:v>11.28095097205585</x:v>
      </x:c>
      <x:c r="D101" s="29" t="n">
        <x:f>'权重'!$B$2*SUMIFS('原始数据'!$D$2:$D$513,'原始数据'!$A$2:$A$513,A101,'原始数据'!$B$2:$B$513,B101,'原始数据'!$C$2:$C$513,0)+'权重'!$B$3*SUMIFS('原始数据'!$D$2:$D$513,'原始数据'!$A$2:$A$513,A101,'原始数据'!$B$2:$B$513,B101,'原始数据'!$C$2:$C$513,-10)</x:f>
        <x:v>10.535103069765544</x:v>
      </x:c>
    </x:row>
    <x:row r="102">
      <x:c r="A102" s="28" t="n">
        <x:v>22</x:v>
      </x:c>
      <x:c r="B102" s="28" t="n">
        <x:v>18</x:v>
      </x:c>
      <x:c r="C102" s="29" t="n">
        <x:f>ABS(SUMIFS('原始数据'!$D$2:$D$513,'原始数据'!$A$2:$A$513,A102,'原始数据'!$B$2:$B$513,B102,'原始数据'!$C$2:$C$513,0)-SUMIFS('原始数据'!$D$2:$D$513,'原始数据'!$A$2:$A$513,A102,'原始数据'!$B$2:$B$513,B102,'原始数据'!$C$2:$C$513,-10))</x:f>
        <x:v>13.359717671763041</x:v>
      </x:c>
      <x:c r="D102" s="29" t="n">
        <x:f>'权重'!$B$2*SUMIFS('原始数据'!$D$2:$D$513,'原始数据'!$A$2:$A$513,A102,'原始数据'!$B$2:$B$513,B102,'原始数据'!$C$2:$C$513,0)+'权重'!$B$3*SUMIFS('原始数据'!$D$2:$D$513,'原始数据'!$A$2:$A$513,A102,'原始数据'!$B$2:$B$513,B102,'原始数据'!$C$2:$C$513,-10)</x:f>
        <x:v>9.511220422061887</x:v>
      </x:c>
    </x:row>
    <x:row r="103">
      <x:c r="A103" s="28" t="n">
        <x:v>22</x:v>
      </x:c>
      <x:c r="B103" s="28" t="n">
        <x:v>20</x:v>
      </x:c>
      <x:c r="C103" s="29" t="n">
        <x:f>ABS(SUMIFS('原始数据'!$D$2:$D$513,'原始数据'!$A$2:$A$513,A103,'原始数据'!$B$2:$B$513,B103,'原始数据'!$C$2:$C$513,0)-SUMIFS('原始数据'!$D$2:$D$513,'原始数据'!$A$2:$A$513,A103,'原始数据'!$B$2:$B$513,B103,'原始数据'!$C$2:$C$513,-10))</x:f>
        <x:v>13.813840915581109</x:v>
      </x:c>
      <x:c r="D103" s="29" t="n">
        <x:f>'权重'!$B$2*SUMIFS('原始数据'!$D$2:$D$513,'原始数据'!$A$2:$A$513,A103,'原始数据'!$B$2:$B$513,B103,'原始数据'!$C$2:$C$513,0)+'权重'!$B$3*SUMIFS('原始数据'!$D$2:$D$513,'原始数据'!$A$2:$A$513,A103,'原始数据'!$B$2:$B$513,B103,'原始数据'!$C$2:$C$513,-10)</x:f>
        <x:v>9.122986259541566</x:v>
      </x:c>
    </x:row>
    <x:row r="104">
      <x:c r="A104" s="28" t="n">
        <x:v>22</x:v>
      </x:c>
      <x:c r="B104" s="28" t="n">
        <x:v>22</x:v>
      </x:c>
      <x:c r="C104" s="29" t="n">
        <x:f>ABS(SUMIFS('原始数据'!$D$2:$D$513,'原始数据'!$A$2:$A$513,A104,'原始数据'!$B$2:$B$513,B104,'原始数据'!$C$2:$C$513,0)-SUMIFS('原始数据'!$D$2:$D$513,'原始数据'!$A$2:$A$513,A104,'原始数据'!$B$2:$B$513,B104,'原始数据'!$C$2:$C$513,-10))</x:f>
        <x:v>10.46602761325275</x:v>
      </x:c>
      <x:c r="D104" s="29" t="n">
        <x:f>'权重'!$B$2*SUMIFS('原始数据'!$D$2:$D$513,'原始数据'!$A$2:$A$513,A104,'原始数据'!$B$2:$B$513,B104,'原始数据'!$C$2:$C$513,0)+'权重'!$B$3*SUMIFS('原始数据'!$D$2:$D$513,'原始数据'!$A$2:$A$513,A104,'原始数据'!$B$2:$B$513,B104,'原始数据'!$C$2:$C$513,-10)</x:f>
        <x:v>9.957089111513874</x:v>
      </x:c>
    </x:row>
    <x:row r="105">
      <x:c r="A105" s="28" t="n">
        <x:v>22</x:v>
      </x:c>
      <x:c r="B105" s="28" t="n">
        <x:v>24</x:v>
      </x:c>
      <x:c r="C105" s="29" t="n">
        <x:f>ABS(SUMIFS('原始数据'!$D$2:$D$513,'原始数据'!$A$2:$A$513,A105,'原始数据'!$B$2:$B$513,B105,'原始数据'!$C$2:$C$513,0)-SUMIFS('原始数据'!$D$2:$D$513,'原始数据'!$A$2:$A$513,A105,'原始数据'!$B$2:$B$513,B105,'原始数据'!$C$2:$C$513,-10))</x:f>
        <x:v>10.75843503110379</x:v>
      </x:c>
      <x:c r="D105" s="29" t="n">
        <x:f>'权重'!$B$2*SUMIFS('原始数据'!$D$2:$D$513,'原始数据'!$A$2:$A$513,A105,'原始数据'!$B$2:$B$513,B105,'原始数据'!$C$2:$C$513,0)+'权重'!$B$3*SUMIFS('原始数据'!$D$2:$D$513,'原始数据'!$A$2:$A$513,A105,'原始数据'!$B$2:$B$513,B105,'原始数据'!$C$2:$C$513,-10)</x:f>
        <x:v>9.742861950171761</x:v>
      </x:c>
    </x:row>
    <x:row r="106">
      <x:c r="A106" s="28" t="n">
        <x:v>22</x:v>
      </x:c>
      <x:c r="B106" s="28" t="n">
        <x:v>26</x:v>
      </x:c>
      <x:c r="C106" s="29" t="n">
        <x:f>ABS(SUMIFS('原始数据'!$D$2:$D$513,'原始数据'!$A$2:$A$513,A106,'原始数据'!$B$2:$B$513,B106,'原始数据'!$C$2:$C$513,0)-SUMIFS('原始数据'!$D$2:$D$513,'原始数据'!$A$2:$A$513,A106,'原始数据'!$B$2:$B$513,B106,'原始数据'!$C$2:$C$513,-10))</x:f>
        <x:v>11.24370663493157</x:v>
      </x:c>
      <x:c r="D106" s="29" t="n">
        <x:f>'权重'!$B$2*SUMIFS('原始数据'!$D$2:$D$513,'原始数据'!$A$2:$A$513,A106,'原始数据'!$B$2:$B$513,B106,'原始数据'!$C$2:$C$513,0)+'权重'!$B$3*SUMIFS('原始数据'!$D$2:$D$513,'原始数据'!$A$2:$A$513,A106,'原始数据'!$B$2:$B$513,B106,'原始数据'!$C$2:$C$513,-10)</x:f>
        <x:v>9.573427160180529</x:v>
      </x:c>
    </x:row>
    <x:row r="107">
      <x:c r="A107" s="28" t="n">
        <x:v>22</x:v>
      </x:c>
      <x:c r="B107" s="28" t="n">
        <x:v>28</x:v>
      </x:c>
      <x:c r="C107" s="29" t="n">
        <x:f>ABS(SUMIFS('原始数据'!$D$2:$D$513,'原始数据'!$A$2:$A$513,A107,'原始数据'!$B$2:$B$513,B107,'原始数据'!$C$2:$C$513,0)-SUMIFS('原始数据'!$D$2:$D$513,'原始数据'!$A$2:$A$513,A107,'原始数据'!$B$2:$B$513,B107,'原始数据'!$C$2:$C$513,-10))</x:f>
        <x:v>11.42633785071035</x:v>
      </x:c>
      <x:c r="D107" s="29" t="n">
        <x:f>'权重'!$B$2*SUMIFS('原始数据'!$D$2:$D$513,'原始数据'!$A$2:$A$513,A107,'原始数据'!$B$2:$B$513,B107,'原始数据'!$C$2:$C$513,0)+'权重'!$B$3*SUMIFS('原始数据'!$D$2:$D$513,'原始数据'!$A$2:$A$513,A107,'原始数据'!$B$2:$B$513,B107,'原始数据'!$C$2:$C$513,-10)</x:f>
        <x:v>9.392024258511595</x:v>
      </x:c>
    </x:row>
    <x:row r="108">
      <x:c r="A108" s="28" t="n">
        <x:v>22</x:v>
      </x:c>
      <x:c r="B108" s="28" t="n">
        <x:v>30</x:v>
      </x:c>
      <x:c r="C108" s="29" t="n">
        <x:f>ABS(SUMIFS('原始数据'!$D$2:$D$513,'原始数据'!$A$2:$A$513,A108,'原始数据'!$B$2:$B$513,B108,'原始数据'!$C$2:$C$513,0)-SUMIFS('原始数据'!$D$2:$D$513,'原始数据'!$A$2:$A$513,A108,'原始数据'!$B$2:$B$513,B108,'原始数据'!$C$2:$C$513,-10))</x:f>
        <x:v>11.41588970589097</x:v>
      </x:c>
      <x:c r="D108" s="29" t="n">
        <x:f>'权重'!$B$2*SUMIFS('原始数据'!$D$2:$D$513,'原始数据'!$A$2:$A$513,A108,'原始数据'!$B$2:$B$513,B108,'原始数据'!$C$2:$C$513,0)+'权重'!$B$3*SUMIFS('原始数据'!$D$2:$D$513,'原始数据'!$A$2:$A$513,A108,'原始数据'!$B$2:$B$513,B108,'原始数据'!$C$2:$C$513,-10)</x:f>
        <x:v>9.416472294698307</x:v>
      </x:c>
    </x:row>
    <x:row r="109">
      <x:c r="A109" s="28" t="n">
        <x:v>22</x:v>
      </x:c>
      <x:c r="B109" s="28" t="n">
        <x:v>32</x:v>
      </x:c>
      <x:c r="C109" s="29" t="n">
        <x:f>ABS(SUMIFS('原始数据'!$D$2:$D$513,'原始数据'!$A$2:$A$513,A109,'原始数据'!$B$2:$B$513,B109,'原始数据'!$C$2:$C$513,0)-SUMIFS('原始数据'!$D$2:$D$513,'原始数据'!$A$2:$A$513,A109,'原始数据'!$B$2:$B$513,B109,'原始数据'!$C$2:$C$513,-10))</x:f>
        <x:v>11.205158202415669</x:v>
      </x:c>
      <x:c r="D109" s="29" t="n">
        <x:f>'权重'!$B$2*SUMIFS('原始数据'!$D$2:$D$513,'原始数据'!$A$2:$A$513,A109,'原始数据'!$B$2:$B$513,B109,'原始数据'!$C$2:$C$513,0)+'权重'!$B$3*SUMIFS('原始数据'!$D$2:$D$513,'原始数据'!$A$2:$A$513,A109,'原始数据'!$B$2:$B$513,B109,'原始数据'!$C$2:$C$513,-10)</x:f>
        <x:v>9.376565226210799</x:v>
      </x:c>
    </x:row>
    <x:row r="110">
      <x:c r="A110" s="28" t="n">
        <x:v>22</x:v>
      </x:c>
      <x:c r="B110" s="28" t="n">
        <x:v>34</x:v>
      </x:c>
      <x:c r="C110" s="29" t="n">
        <x:f>ABS(SUMIFS('原始数据'!$D$2:$D$513,'原始数据'!$A$2:$A$513,A110,'原始数据'!$B$2:$B$513,B110,'原始数据'!$C$2:$C$513,0)-SUMIFS('原始数据'!$D$2:$D$513,'原始数据'!$A$2:$A$513,A110,'原始数据'!$B$2:$B$513,B110,'原始数据'!$C$2:$C$513,-10))</x:f>
        <x:v>10.524673317251949</x:v>
      </x:c>
      <x:c r="D110" s="29" t="n">
        <x:f>'权重'!$B$2*SUMIFS('原始数据'!$D$2:$D$513,'原始数据'!$A$2:$A$513,A110,'原始数据'!$B$2:$B$513,B110,'原始数据'!$C$2:$C$513,0)+'权重'!$B$3*SUMIFS('原始数据'!$D$2:$D$513,'原始数据'!$A$2:$A$513,A110,'原始数据'!$B$2:$B$513,B110,'原始数据'!$C$2:$C$513,-10)</x:f>
        <x:v>9.743899661840613</x:v>
      </x:c>
    </x:row>
    <x:row r="111">
      <x:c r="A111" s="28" t="n">
        <x:v>22</x:v>
      </x:c>
      <x:c r="B111" s="28" t="n">
        <x:v>36</x:v>
      </x:c>
      <x:c r="C111" s="29" t="n">
        <x:f>ABS(SUMIFS('原始数据'!$D$2:$D$513,'原始数据'!$A$2:$A$513,A111,'原始数据'!$B$2:$B$513,B111,'原始数据'!$C$2:$C$513,0)-SUMIFS('原始数据'!$D$2:$D$513,'原始数据'!$A$2:$A$513,A111,'原始数据'!$B$2:$B$513,B111,'原始数据'!$C$2:$C$513,-10))</x:f>
        <x:v>9.743543003816379</x:v>
      </x:c>
      <x:c r="D111" s="29" t="n">
        <x:f>'权重'!$B$2*SUMIFS('原始数据'!$D$2:$D$513,'原始数据'!$A$2:$A$513,A111,'原始数据'!$B$2:$B$513,B111,'原始数据'!$C$2:$C$513,0)+'权重'!$B$3*SUMIFS('原始数据'!$D$2:$D$513,'原始数据'!$A$2:$A$513,A111,'原始数据'!$B$2:$B$513,B111,'原始数据'!$C$2:$C$513,-10)</x:f>
        <x:v>10.110657434151785</x:v>
      </x:c>
    </x:row>
    <x:row r="112">
      <x:c r="A112" s="28" t="n">
        <x:v>22</x:v>
      </x:c>
      <x:c r="B112" s="28" t="n">
        <x:v>38</x:v>
      </x:c>
      <x:c r="C112" s="29" t="n">
        <x:f>ABS(SUMIFS('原始数据'!$D$2:$D$513,'原始数据'!$A$2:$A$513,A112,'原始数据'!$B$2:$B$513,B112,'原始数据'!$C$2:$C$513,0)-SUMIFS('原始数据'!$D$2:$D$513,'原始数据'!$A$2:$A$513,A112,'原始数据'!$B$2:$B$513,B112,'原始数据'!$C$2:$C$513,-10))</x:f>
        <x:v>9.496318040678789</x:v>
      </x:c>
      <x:c r="D112" s="29" t="n">
        <x:f>'权重'!$B$2*SUMIFS('原始数据'!$D$2:$D$513,'原始数据'!$A$2:$A$513,A112,'原始数据'!$B$2:$B$513,B112,'原始数据'!$C$2:$C$513,0)+'权重'!$B$3*SUMIFS('原始数据'!$D$2:$D$513,'原始数据'!$A$2:$A$513,A112,'原始数据'!$B$2:$B$513,B112,'原始数据'!$C$2:$C$513,-10)</x:f>
        <x:v>10.217482967297762</x:v>
      </x:c>
    </x:row>
    <x:row r="113">
      <x:c r="A113" s="28" t="n">
        <x:v>22</x:v>
      </x:c>
      <x:c r="B113" s="28" t="n">
        <x:v>40</x:v>
      </x:c>
      <x:c r="C113" s="29" t="n">
        <x:f>ABS(SUMIFS('原始数据'!$D$2:$D$513,'原始数据'!$A$2:$A$513,A113,'原始数据'!$B$2:$B$513,B113,'原始数据'!$C$2:$C$513,0)-SUMIFS('原始数据'!$D$2:$D$513,'原始数据'!$A$2:$A$513,A113,'原始数据'!$B$2:$B$513,B113,'原始数据'!$C$2:$C$513,-10))</x:f>
        <x:v>8.74997696420196</x:v>
      </x:c>
      <x:c r="D113" s="29" t="n">
        <x:f>'权重'!$B$2*SUMIFS('原始数据'!$D$2:$D$513,'原始数据'!$A$2:$A$513,A113,'原始数据'!$B$2:$B$513,B113,'原始数据'!$C$2:$C$513,0)+'权重'!$B$3*SUMIFS('原始数据'!$D$2:$D$513,'原始数据'!$A$2:$A$513,A113,'原始数据'!$B$2:$B$513,B113,'原始数据'!$C$2:$C$513,-10)</x:f>
        <x:v>10.159835350877811</x:v>
      </x:c>
    </x:row>
    <x:row r="114">
      <x:c r="A114" s="28" t="n">
        <x:v>24</x:v>
      </x:c>
      <x:c r="B114" s="28" t="n">
        <x:v>10</x:v>
      </x:c>
      <x:c r="C114" s="29" t="n">
        <x:f>ABS(SUMIFS('原始数据'!$D$2:$D$513,'原始数据'!$A$2:$A$513,A114,'原始数据'!$B$2:$B$513,B114,'原始数据'!$C$2:$C$513,0)-SUMIFS('原始数据'!$D$2:$D$513,'原始数据'!$A$2:$A$513,A114,'原始数据'!$B$2:$B$513,B114,'原始数据'!$C$2:$C$513,-10))</x:f>
        <x:v>7.60418447619109</x:v>
      </x:c>
      <x:c r="D114" s="29" t="n">
        <x:f>'权重'!$B$2*SUMIFS('原始数据'!$D$2:$D$513,'原始数据'!$A$2:$A$513,A114,'原始数据'!$B$2:$B$513,B114,'原始数据'!$C$2:$C$513,0)+'权重'!$B$3*SUMIFS('原始数据'!$D$2:$D$513,'原始数据'!$A$2:$A$513,A114,'原始数据'!$B$2:$B$513,B114,'原始数据'!$C$2:$C$513,-10)</x:f>
        <x:v>7.243402196152736</x:v>
      </x:c>
    </x:row>
    <x:row r="115">
      <x:c r="A115" s="28" t="n">
        <x:v>24</x:v>
      </x:c>
      <x:c r="B115" s="28" t="n">
        <x:v>12</x:v>
      </x:c>
      <x:c r="C115" s="29" t="n">
        <x:f>ABS(SUMIFS('原始数据'!$D$2:$D$513,'原始数据'!$A$2:$A$513,A115,'原始数据'!$B$2:$B$513,B115,'原始数据'!$C$2:$C$513,0)-SUMIFS('原始数据'!$D$2:$D$513,'原始数据'!$A$2:$A$513,A115,'原始数据'!$B$2:$B$513,B115,'原始数据'!$C$2:$C$513,-10))</x:f>
        <x:v>0.8675778772231002</x:v>
      </x:c>
      <x:c r="D115" s="29" t="n">
        <x:f>'权重'!$B$2*SUMIFS('原始数据'!$D$2:$D$513,'原始数据'!$A$2:$A$513,A115,'原始数据'!$B$2:$B$513,B115,'原始数据'!$C$2:$C$513,0)+'权重'!$B$3*SUMIFS('原始数据'!$D$2:$D$513,'原始数据'!$A$2:$A$513,A115,'原始数据'!$B$2:$B$513,B115,'原始数据'!$C$2:$C$513,-10)</x:f>
        <x:v>11.568608546263471</x:v>
      </x:c>
    </x:row>
    <x:row r="116">
      <x:c r="A116" s="28" t="n">
        <x:v>24</x:v>
      </x:c>
      <x:c r="B116" s="28" t="n">
        <x:v>14</x:v>
      </x:c>
      <x:c r="C116" s="29" t="n">
        <x:f>ABS(SUMIFS('原始数据'!$D$2:$D$513,'原始数据'!$A$2:$A$513,A116,'原始数据'!$B$2:$B$513,B116,'原始数据'!$C$2:$C$513,0)-SUMIFS('原始数据'!$D$2:$D$513,'原始数据'!$A$2:$A$513,A116,'原始数据'!$B$2:$B$513,B116,'原始数据'!$C$2:$C$513,-10))</x:f>
        <x:v>5.395075757875629</x:v>
      </x:c>
      <x:c r="D116" s="29" t="n">
        <x:f>'权重'!$B$2*SUMIFS('原始数据'!$D$2:$D$513,'原始数据'!$A$2:$A$513,A116,'原始数据'!$B$2:$B$513,B116,'原始数据'!$C$2:$C$513,0)+'权重'!$B$3*SUMIFS('原始数据'!$D$2:$D$513,'原始数据'!$A$2:$A$513,A116,'原始数据'!$B$2:$B$513,B116,'原始数据'!$C$2:$C$513,-10)</x:f>
        <x:v>13.02631619279501</x:v>
      </x:c>
    </x:row>
    <x:row r="117">
      <x:c r="A117" s="28" t="n">
        <x:v>24</x:v>
      </x:c>
      <x:c r="B117" s="28" t="n">
        <x:v>16</x:v>
      </x:c>
      <x:c r="C117" s="29" t="n">
        <x:f>ABS(SUMIFS('原始数据'!$D$2:$D$513,'原始数据'!$A$2:$A$513,A117,'原始数据'!$B$2:$B$513,B117,'原始数据'!$C$2:$C$513,0)-SUMIFS('原始数据'!$D$2:$D$513,'原始数据'!$A$2:$A$513,A117,'原始数据'!$B$2:$B$513,B117,'原始数据'!$C$2:$C$513,-10))</x:f>
        <x:v>6.8535132548348505</x:v>
      </x:c>
      <x:c r="D117" s="29" t="n">
        <x:f>'权重'!$B$2*SUMIFS('原始数据'!$D$2:$D$513,'原始数据'!$A$2:$A$513,A117,'原始数据'!$B$2:$B$513,B117,'原始数据'!$C$2:$C$513,0)+'权重'!$B$3*SUMIFS('原始数据'!$D$2:$D$513,'原始数据'!$A$2:$A$513,A117,'原始数据'!$B$2:$B$513,B117,'原始数据'!$C$2:$C$513,-10)</x:f>
        <x:v>12.157828990602344</x:v>
      </x:c>
    </x:row>
    <x:row r="118">
      <x:c r="A118" s="28" t="n">
        <x:v>24</x:v>
      </x:c>
      <x:c r="B118" s="28" t="n">
        <x:v>18</x:v>
      </x:c>
      <x:c r="C118" s="29" t="n">
        <x:f>ABS(SUMIFS('原始数据'!$D$2:$D$513,'原始数据'!$A$2:$A$513,A118,'原始数据'!$B$2:$B$513,B118,'原始数据'!$C$2:$C$513,0)-SUMIFS('原始数据'!$D$2:$D$513,'原始数据'!$A$2:$A$513,A118,'原始数据'!$B$2:$B$513,B118,'原始数据'!$C$2:$C$513,-10))</x:f>
        <x:v>8.391067453568061</x:v>
      </x:c>
      <x:c r="D118" s="29" t="n">
        <x:f>'权重'!$B$2*SUMIFS('原始数据'!$D$2:$D$513,'原始数据'!$A$2:$A$513,A118,'原始数据'!$B$2:$B$513,B118,'原始数据'!$C$2:$C$513,0)+'权重'!$B$3*SUMIFS('原始数据'!$D$2:$D$513,'原始数据'!$A$2:$A$513,A118,'原始数据'!$B$2:$B$513,B118,'原始数据'!$C$2:$C$513,-10)</x:f>
        <x:v>11.222485984713881</x:v>
      </x:c>
    </x:row>
    <x:row r="119">
      <x:c r="A119" s="28" t="n">
        <x:v>24</x:v>
      </x:c>
      <x:c r="B119" s="28" t="n">
        <x:v>20</x:v>
      </x:c>
      <x:c r="C119" s="29" t="n">
        <x:f>ABS(SUMIFS('原始数据'!$D$2:$D$513,'原始数据'!$A$2:$A$513,A119,'原始数据'!$B$2:$B$513,B119,'原始数据'!$C$2:$C$513,0)-SUMIFS('原始数据'!$D$2:$D$513,'原始数据'!$A$2:$A$513,A119,'原始数据'!$B$2:$B$513,B119,'原始数据'!$C$2:$C$513,-10))</x:f>
        <x:v>9.81718458890717</x:v>
      </x:c>
      <x:c r="D119" s="29" t="n">
        <x:f>'权重'!$B$2*SUMIFS('原始数据'!$D$2:$D$513,'原始数据'!$A$2:$A$513,A119,'原始数据'!$B$2:$B$513,B119,'原始数据'!$C$2:$C$513,0)+'权重'!$B$3*SUMIFS('原始数据'!$D$2:$D$513,'原始数据'!$A$2:$A$513,A119,'原始数据'!$B$2:$B$513,B119,'原始数据'!$C$2:$C$513,-10)</x:f>
        <x:v>10.451338264049449</x:v>
      </x:c>
    </x:row>
    <x:row r="120">
      <x:c r="A120" s="28" t="n">
        <x:v>24</x:v>
      </x:c>
      <x:c r="B120" s="28" t="n">
        <x:v>22</x:v>
      </x:c>
      <x:c r="C120" s="29" t="n">
        <x:f>ABS(SUMIFS('原始数据'!$D$2:$D$513,'原始数据'!$A$2:$A$513,A120,'原始数据'!$B$2:$B$513,B120,'原始数据'!$C$2:$C$513,0)-SUMIFS('原始数据'!$D$2:$D$513,'原始数据'!$A$2:$A$513,A120,'原始数据'!$B$2:$B$513,B120,'原始数据'!$C$2:$C$513,-10))</x:f>
        <x:v>6.880946463301201</x:v>
      </x:c>
      <x:c r="D120" s="29" t="n">
        <x:f>'权重'!$B$2*SUMIFS('原始数据'!$D$2:$D$513,'原始数据'!$A$2:$A$513,A120,'原始数据'!$B$2:$B$513,B120,'原始数据'!$C$2:$C$513,0)+'权重'!$B$3*SUMIFS('原始数据'!$D$2:$D$513,'原始数据'!$A$2:$A$513,A120,'原始数据'!$B$2:$B$513,B120,'原始数据'!$C$2:$C$513,-10)</x:f>
        <x:v>11.08901471640254</x:v>
      </x:c>
    </x:row>
    <x:row r="121">
      <x:c r="A121" s="28" t="n">
        <x:v>24</x:v>
      </x:c>
      <x:c r="B121" s="28" t="n">
        <x:v>24</x:v>
      </x:c>
      <x:c r="C121" s="29" t="n">
        <x:f>ABS(SUMIFS('原始数据'!$D$2:$D$513,'原始数据'!$A$2:$A$513,A121,'原始数据'!$B$2:$B$513,B121,'原始数据'!$C$2:$C$513,0)-SUMIFS('原始数据'!$D$2:$D$513,'原始数据'!$A$2:$A$513,A121,'原始数据'!$B$2:$B$513,B121,'原始数据'!$C$2:$C$513,-10))</x:f>
        <x:v>5.640849789558521</x:v>
      </x:c>
      <x:c r="D121" s="29" t="n">
        <x:f>'权重'!$B$2*SUMIFS('原始数据'!$D$2:$D$513,'原始数据'!$A$2:$A$513,A121,'原始数据'!$B$2:$B$513,B121,'原始数据'!$C$2:$C$513,0)+'权重'!$B$3*SUMIFS('原始数据'!$D$2:$D$513,'原始数据'!$A$2:$A$513,A121,'原始数据'!$B$2:$B$513,B121,'原始数据'!$C$2:$C$513,-10)</x:f>
        <x:v>11.363459013014245</x:v>
      </x:c>
    </x:row>
    <x:row r="122">
      <x:c r="A122" s="28" t="n">
        <x:v>24</x:v>
      </x:c>
      <x:c r="B122" s="28" t="n">
        <x:v>26</x:v>
      </x:c>
      <x:c r="C122" s="29" t="n">
        <x:f>ABS(SUMIFS('原始数据'!$D$2:$D$513,'原始数据'!$A$2:$A$513,A122,'原始数据'!$B$2:$B$513,B122,'原始数据'!$C$2:$C$513,0)-SUMIFS('原始数据'!$D$2:$D$513,'原始数据'!$A$2:$A$513,A122,'原始数据'!$B$2:$B$513,B122,'原始数据'!$C$2:$C$513,-10))</x:f>
        <x:v>6.219009813945611</x:v>
      </x:c>
      <x:c r="D122" s="29" t="n">
        <x:f>'权重'!$B$2*SUMIFS('原始数据'!$D$2:$D$513,'原始数据'!$A$2:$A$513,A122,'原始数据'!$B$2:$B$513,B122,'原始数据'!$C$2:$C$513,0)+'权重'!$B$3*SUMIFS('原始数据'!$D$2:$D$513,'原始数据'!$A$2:$A$513,A122,'原始数据'!$B$2:$B$513,B122,'原始数据'!$C$2:$C$513,-10)</x:f>
        <x:v>11.065300281356416</x:v>
      </x:c>
    </x:row>
    <x:row r="123">
      <x:c r="A123" s="28" t="n">
        <x:v>24</x:v>
      </x:c>
      <x:c r="B123" s="28" t="n">
        <x:v>28</x:v>
      </x:c>
      <x:c r="C123" s="29" t="n">
        <x:f>ABS(SUMIFS('原始数据'!$D$2:$D$513,'原始数据'!$A$2:$A$513,A123,'原始数据'!$B$2:$B$513,B123,'原始数据'!$C$2:$C$513,0)-SUMIFS('原始数据'!$D$2:$D$513,'原始数据'!$A$2:$A$513,A123,'原始数据'!$B$2:$B$513,B123,'原始数据'!$C$2:$C$513,-10))</x:f>
        <x:v>6.69971723362167</x:v>
      </x:c>
      <x:c r="D123" s="29" t="n">
        <x:f>'权重'!$B$2*SUMIFS('原始数据'!$D$2:$D$513,'原始数据'!$A$2:$A$513,A123,'原始数据'!$B$2:$B$513,B123,'原始数据'!$C$2:$C$513,0)+'权重'!$B$3*SUMIFS('原始数据'!$D$2:$D$513,'原始数据'!$A$2:$A$513,A123,'原始数据'!$B$2:$B$513,B123,'原始数据'!$C$2:$C$513,-10)</x:f>
        <x:v>10.7598859131387</x:v>
      </x:c>
    </x:row>
    <x:row r="124">
      <x:c r="A124" s="28" t="n">
        <x:v>24</x:v>
      </x:c>
      <x:c r="B124" s="28" t="n">
        <x:v>30</x:v>
      </x:c>
      <x:c r="C124" s="29" t="n">
        <x:f>ABS(SUMIFS('原始数据'!$D$2:$D$513,'原始数据'!$A$2:$A$513,A124,'原始数据'!$B$2:$B$513,B124,'原始数据'!$C$2:$C$513,0)-SUMIFS('原始数据'!$D$2:$D$513,'原始数据'!$A$2:$A$513,A124,'原始数据'!$B$2:$B$513,B124,'原始数据'!$C$2:$C$513,-10))</x:f>
        <x:v>6.9464751154629205</x:v>
      </x:c>
      <x:c r="D124" s="29" t="n">
        <x:f>'权重'!$B$2*SUMIFS('原始数据'!$D$2:$D$513,'原始数据'!$A$2:$A$513,A124,'原始数据'!$B$2:$B$513,B124,'原始数据'!$C$2:$C$513,0)+'权重'!$B$3*SUMIFS('原始数据'!$D$2:$D$513,'原始数据'!$A$2:$A$513,A124,'原始数据'!$B$2:$B$513,B124,'原始数据'!$C$2:$C$513,-10)</x:f>
        <x:v>10.846217892034623</x:v>
      </x:c>
    </x:row>
    <x:row r="125">
      <x:c r="A125" s="28" t="n">
        <x:v>24</x:v>
      </x:c>
      <x:c r="B125" s="28" t="n">
        <x:v>32</x:v>
      </x:c>
      <x:c r="C125" s="29" t="n">
        <x:f>ABS(SUMIFS('原始数据'!$D$2:$D$513,'原始数据'!$A$2:$A$513,A125,'原始数据'!$B$2:$B$513,B125,'原始数据'!$C$2:$C$513,0)-SUMIFS('原始数据'!$D$2:$D$513,'原始数据'!$A$2:$A$513,A125,'原始数据'!$B$2:$B$513,B125,'原始数据'!$C$2:$C$513,-10))</x:f>
        <x:v>6.902414654055851</x:v>
      </x:c>
      <x:c r="D125" s="29" t="n">
        <x:f>'权重'!$B$2*SUMIFS('原始数据'!$D$2:$D$513,'原始数据'!$A$2:$A$513,A125,'原始数据'!$B$2:$B$513,B125,'原始数据'!$C$2:$C$513,0)+'权重'!$B$3*SUMIFS('原始数据'!$D$2:$D$513,'原始数据'!$A$2:$A$513,A125,'原始数据'!$B$2:$B$513,B125,'原始数据'!$C$2:$C$513,-10)</x:f>
        <x:v>10.648076597459443</x:v>
      </x:c>
    </x:row>
    <x:row r="126">
      <x:c r="A126" s="28" t="n">
        <x:v>24</x:v>
      </x:c>
      <x:c r="B126" s="28" t="n">
        <x:v>34</x:v>
      </x:c>
      <x:c r="C126" s="29" t="n">
        <x:f>ABS(SUMIFS('原始数据'!$D$2:$D$513,'原始数据'!$A$2:$A$513,A126,'原始数据'!$B$2:$B$513,B126,'原始数据'!$C$2:$C$513,0)-SUMIFS('原始数据'!$D$2:$D$513,'原始数据'!$A$2:$A$513,A126,'原始数据'!$B$2:$B$513,B126,'原始数据'!$C$2:$C$513,-10))</x:f>
        <x:v>6.373675989875999</x:v>
      </x:c>
      <x:c r="D126" s="29" t="n">
        <x:f>'权重'!$B$2*SUMIFS('原始数据'!$D$2:$D$513,'原始数据'!$A$2:$A$513,A126,'原始数据'!$B$2:$B$513,B126,'原始数据'!$C$2:$C$513,0)+'权重'!$B$3*SUMIFS('原始数据'!$D$2:$D$513,'原始数据'!$A$2:$A$513,A126,'原始数据'!$B$2:$B$513,B126,'原始数据'!$C$2:$C$513,-10)</x:f>
        <x:v>10.909339224206699</x:v>
      </x:c>
    </x:row>
    <x:row r="127">
      <x:c r="A127" s="28" t="n">
        <x:v>24</x:v>
      </x:c>
      <x:c r="B127" s="28" t="n">
        <x:v>36</x:v>
      </x:c>
      <x:c r="C127" s="29" t="n">
        <x:f>ABS(SUMIFS('原始数据'!$D$2:$D$513,'原始数据'!$A$2:$A$513,A127,'原始数据'!$B$2:$B$513,B127,'原始数据'!$C$2:$C$513,0)-SUMIFS('原始数据'!$D$2:$D$513,'原始数据'!$A$2:$A$513,A127,'原始数据'!$B$2:$B$513,B127,'原始数据'!$C$2:$C$513,-10))</x:f>
        <x:v>5.55963433298764</x:v>
      </x:c>
      <x:c r="D127" s="29" t="n">
        <x:f>'权重'!$B$2*SUMIFS('原始数据'!$D$2:$D$513,'原始数据'!$A$2:$A$513,A127,'原始数据'!$B$2:$B$513,B127,'原始数据'!$C$2:$C$513,0)+'权重'!$B$3*SUMIFS('原始数据'!$D$2:$D$513,'原始数据'!$A$2:$A$513,A127,'原始数据'!$B$2:$B$513,B127,'原始数据'!$C$2:$C$513,-10)</x:f>
        <x:v>11.229057216867208</x:v>
      </x:c>
    </x:row>
    <x:row r="128">
      <x:c r="A128" s="28" t="n">
        <x:v>24</x:v>
      </x:c>
      <x:c r="B128" s="28" t="n">
        <x:v>38</x:v>
      </x:c>
      <x:c r="C128" s="29" t="n">
        <x:f>ABS(SUMIFS('原始数据'!$D$2:$D$513,'原始数据'!$A$2:$A$513,A128,'原始数据'!$B$2:$B$513,B128,'原始数据'!$C$2:$C$513,0)-SUMIFS('原始数据'!$D$2:$D$513,'原始数据'!$A$2:$A$513,A128,'原始数据'!$B$2:$B$513,B128,'原始数据'!$C$2:$C$513,-10))</x:f>
        <x:v>4.985054117160611</x:v>
      </x:c>
      <x:c r="D128" s="29" t="n">
        <x:f>'权重'!$B$2*SUMIFS('原始数据'!$D$2:$D$513,'原始数据'!$A$2:$A$513,A128,'原始数据'!$B$2:$B$513,B128,'原始数据'!$C$2:$C$513,0)+'权重'!$B$3*SUMIFS('原始数据'!$D$2:$D$513,'原始数据'!$A$2:$A$513,A128,'原始数据'!$B$2:$B$513,B128,'原始数据'!$C$2:$C$513,-10)</x:f>
        <x:v>11.475609279764017</x:v>
      </x:c>
    </x:row>
    <x:row r="129">
      <x:c r="A129" s="28" t="n">
        <x:v>24</x:v>
      </x:c>
      <x:c r="B129" s="28" t="n">
        <x:v>40</x:v>
      </x:c>
      <x:c r="C129" s="29" t="n">
        <x:f>ABS(SUMIFS('原始数据'!$D$2:$D$513,'原始数据'!$A$2:$A$513,A129,'原始数据'!$B$2:$B$513,B129,'原始数据'!$C$2:$C$513,0)-SUMIFS('原始数据'!$D$2:$D$513,'原始数据'!$A$2:$A$513,A129,'原始数据'!$B$2:$B$513,B129,'原始数据'!$C$2:$C$513,-10))</x:f>
        <x:v>4.52068789900178</x:v>
      </x:c>
      <x:c r="D129" s="29" t="n">
        <x:f>'权重'!$B$2*SUMIFS('原始数据'!$D$2:$D$513,'原始数据'!$A$2:$A$513,A129,'原始数据'!$B$2:$B$513,B129,'原始数据'!$C$2:$C$513,0)+'权重'!$B$3*SUMIFS('原始数据'!$D$2:$D$513,'原始数据'!$A$2:$A$513,A129,'原始数据'!$B$2:$B$513,B129,'原始数据'!$C$2:$C$513,-10)</x:f>
        <x:v>11.597924016598565</x:v>
      </x:c>
    </x:row>
    <x:row r="130">
      <x:c r="A130" s="28" t="n">
        <x:v>26</x:v>
      </x:c>
      <x:c r="B130" s="28" t="n">
        <x:v>10</x:v>
      </x:c>
      <x:c r="C130" s="29" t="n">
        <x:f>ABS(SUMIFS('原始数据'!$D$2:$D$513,'原始数据'!$A$2:$A$513,A130,'原始数据'!$B$2:$B$513,B130,'原始数据'!$C$2:$C$513,0)-SUMIFS('原始数据'!$D$2:$D$513,'原始数据'!$A$2:$A$513,A130,'原始数据'!$B$2:$B$513,B130,'原始数据'!$C$2:$C$513,-10))</x:f>
        <x:v>11.29129496456075</x:v>
      </x:c>
      <x:c r="D130" s="29" t="n">
        <x:f>'权重'!$B$2*SUMIFS('原始数据'!$D$2:$D$513,'原始数据'!$A$2:$A$513,A130,'原始数据'!$B$2:$B$513,B130,'原始数据'!$C$2:$C$513,0)+'权重'!$B$3*SUMIFS('原始数据'!$D$2:$D$513,'原始数据'!$A$2:$A$513,A130,'原始数据'!$B$2:$B$513,B130,'原始数据'!$C$2:$C$513,-10)</x:f>
        <x:v>6.633384902148575</x:v>
      </x:c>
    </x:row>
    <x:row r="131">
      <x:c r="A131" s="28" t="n">
        <x:v>26</x:v>
      </x:c>
      <x:c r="B131" s="28" t="n">
        <x:v>12</x:v>
      </x:c>
      <x:c r="C131" s="29" t="n">
        <x:f>ABS(SUMIFS('原始数据'!$D$2:$D$513,'原始数据'!$A$2:$A$513,A131,'原始数据'!$B$2:$B$513,B131,'原始数据'!$C$2:$C$513,0)-SUMIFS('原始数据'!$D$2:$D$513,'原始数据'!$A$2:$A$513,A131,'原始数据'!$B$2:$B$513,B131,'原始数据'!$C$2:$C$513,-10))</x:f>
        <x:v>5.07934357354168</x:v>
      </x:c>
      <x:c r="D131" s="29" t="n">
        <x:f>'权重'!$B$2*SUMIFS('原始数据'!$D$2:$D$513,'原始数据'!$A$2:$A$513,A131,'原始数据'!$B$2:$B$513,B131,'原始数据'!$C$2:$C$513,0)+'权重'!$B$3*SUMIFS('原始数据'!$D$2:$D$513,'原始数据'!$A$2:$A$513,A131,'原始数据'!$B$2:$B$513,B131,'原始数据'!$C$2:$C$513,-10)</x:f>
        <x:v>9.642459929801223</x:v>
      </x:c>
    </x:row>
    <x:row r="132">
      <x:c r="A132" s="28" t="n">
        <x:v>26</x:v>
      </x:c>
      <x:c r="B132" s="28" t="n">
        <x:v>14</x:v>
      </x:c>
      <x:c r="C132" s="29" t="n">
        <x:f>ABS(SUMIFS('原始数据'!$D$2:$D$513,'原始数据'!$A$2:$A$513,A132,'原始数据'!$B$2:$B$513,B132,'原始数据'!$C$2:$C$513,0)-SUMIFS('原始数据'!$D$2:$D$513,'原始数据'!$A$2:$A$513,A132,'原始数据'!$B$2:$B$513,B132,'原始数据'!$C$2:$C$513,-10))</x:f>
        <x:v>2.3133268269550005</x:v>
      </x:c>
      <x:c r="D132" s="29" t="n">
        <x:f>'权重'!$B$2*SUMIFS('原始数据'!$D$2:$D$513,'原始数据'!$A$2:$A$513,A132,'原始数据'!$B$2:$B$513,B132,'原始数据'!$C$2:$C$513,0)+'权重'!$B$3*SUMIFS('原始数据'!$D$2:$D$513,'原始数据'!$A$2:$A$513,A132,'原始数据'!$B$2:$B$513,B132,'原始数据'!$C$2:$C$513,-10)</x:f>
        <x:v>13.4795291737695</x:v>
      </x:c>
    </x:row>
    <x:row r="133">
      <x:c r="A133" s="28" t="n">
        <x:v>26</x:v>
      </x:c>
      <x:c r="B133" s="28" t="n">
        <x:v>16</x:v>
      </x:c>
      <x:c r="C133" s="29" t="n">
        <x:f>ABS(SUMIFS('原始数据'!$D$2:$D$513,'原始数据'!$A$2:$A$513,A133,'原始数据'!$B$2:$B$513,B133,'原始数据'!$C$2:$C$513,0)-SUMIFS('原始数据'!$D$2:$D$513,'原始数据'!$A$2:$A$513,A133,'原始数据'!$B$2:$B$513,B133,'原始数据'!$C$2:$C$513,-10))</x:f>
        <x:v>4.208406731107599</x:v>
      </x:c>
      <x:c r="D133" s="29" t="n">
        <x:f>'权重'!$B$2*SUMIFS('原始数据'!$D$2:$D$513,'原始数据'!$A$2:$A$513,A133,'原始数据'!$B$2:$B$513,B133,'原始数据'!$C$2:$C$513,0)+'权重'!$B$3*SUMIFS('原始数据'!$D$2:$D$513,'原始数据'!$A$2:$A$513,A133,'原始数据'!$B$2:$B$513,B133,'原始数据'!$C$2:$C$513,-10)</x:f>
        <x:v>13.27262595220412</x:v>
      </x:c>
    </x:row>
    <x:row r="134">
      <x:c r="A134" s="28" t="n">
        <x:v>26</x:v>
      </x:c>
      <x:c r="B134" s="28" t="n">
        <x:v>18</x:v>
      </x:c>
      <x:c r="C134" s="29" t="n">
        <x:f>ABS(SUMIFS('原始数据'!$D$2:$D$513,'原始数据'!$A$2:$A$513,A134,'原始数据'!$B$2:$B$513,B134,'原始数据'!$C$2:$C$513,0)-SUMIFS('原始数据'!$D$2:$D$513,'原始数据'!$A$2:$A$513,A134,'原始数据'!$B$2:$B$513,B134,'原始数据'!$C$2:$C$513,-10))</x:f>
        <x:v>5.287286319136751</x:v>
      </x:c>
      <x:c r="D134" s="29" t="n">
        <x:f>'权重'!$B$2*SUMIFS('原始数据'!$D$2:$D$513,'原始数据'!$A$2:$A$513,A134,'原始数据'!$B$2:$B$513,B134,'原始数据'!$C$2:$C$513,0)+'权重'!$B$3*SUMIFS('原始数据'!$D$2:$D$513,'原始数据'!$A$2:$A$513,A134,'原始数据'!$B$2:$B$513,B134,'原始数据'!$C$2:$C$513,-10)</x:f>
        <x:v>12.335358265166674</x:v>
      </x:c>
    </x:row>
    <x:row r="135">
      <x:c r="A135" s="28" t="n">
        <x:v>26</x:v>
      </x:c>
      <x:c r="B135" s="28" t="n">
        <x:v>20</x:v>
      </x:c>
      <x:c r="C135" s="29" t="n">
        <x:f>ABS(SUMIFS('原始数据'!$D$2:$D$513,'原始数据'!$A$2:$A$513,A135,'原始数据'!$B$2:$B$513,B135,'原始数据'!$C$2:$C$513,0)-SUMIFS('原始数据'!$D$2:$D$513,'原始数据'!$A$2:$A$513,A135,'原始数据'!$B$2:$B$513,B135,'原始数据'!$C$2:$C$513,-10))</x:f>
        <x:v>6.60936156931957</x:v>
      </x:c>
      <x:c r="D135" s="29" t="n">
        <x:f>'权重'!$B$2*SUMIFS('原始数据'!$D$2:$D$513,'原始数据'!$A$2:$A$513,A135,'原始数据'!$B$2:$B$513,B135,'原始数据'!$C$2:$C$513,0)+'权重'!$B$3*SUMIFS('原始数据'!$D$2:$D$513,'原始数据'!$A$2:$A$513,A135,'原始数据'!$B$2:$B$513,B135,'原始数据'!$C$2:$C$513,-10)</x:f>
        <x:v>11.482844320227928</x:v>
      </x:c>
    </x:row>
    <x:row r="136">
      <x:c r="A136" s="28" t="n">
        <x:v>26</x:v>
      </x:c>
      <x:c r="B136" s="28" t="n">
        <x:v>22</x:v>
      </x:c>
      <x:c r="C136" s="29" t="n">
        <x:f>ABS(SUMIFS('原始数据'!$D$2:$D$513,'原始数据'!$A$2:$A$513,A136,'原始数据'!$B$2:$B$513,B136,'原始数据'!$C$2:$C$513,0)-SUMIFS('原始数据'!$D$2:$D$513,'原始数据'!$A$2:$A$513,A136,'原始数据'!$B$2:$B$513,B136,'原始数据'!$C$2:$C$513,-10))</x:f>
        <x:v>6.14707823719487</x:v>
      </x:c>
      <x:c r="D136" s="29" t="n">
        <x:f>'权重'!$B$2*SUMIFS('原始数据'!$D$2:$D$513,'原始数据'!$A$2:$A$513,A136,'原始数据'!$B$2:$B$513,B136,'原始数据'!$C$2:$C$513,0)+'权重'!$B$3*SUMIFS('原始数据'!$D$2:$D$513,'原始数据'!$A$2:$A$513,A136,'原始数据'!$B$2:$B$513,B136,'原始数据'!$C$2:$C$513,-10)</x:f>
        <x:v>11.376997178957838</x:v>
      </x:c>
    </x:row>
    <x:row r="137">
      <x:c r="A137" s="28" t="n">
        <x:v>26</x:v>
      </x:c>
      <x:c r="B137" s="28" t="n">
        <x:v>24</x:v>
      </x:c>
      <x:c r="C137" s="29" t="n">
        <x:f>ABS(SUMIFS('原始数据'!$D$2:$D$513,'原始数据'!$A$2:$A$513,A137,'原始数据'!$B$2:$B$513,B137,'原始数据'!$C$2:$C$513,0)-SUMIFS('原始数据'!$D$2:$D$513,'原始数据'!$A$2:$A$513,A137,'原始数据'!$B$2:$B$513,B137,'原始数据'!$C$2:$C$513,-10))</x:f>
        <x:v>2.249032304964299</x:v>
      </x:c>
      <x:c r="D137" s="29" t="n">
        <x:f>'权重'!$B$2*SUMIFS('原始数据'!$D$2:$D$513,'原始数据'!$A$2:$A$513,A137,'原始数据'!$B$2:$B$513,B137,'原始数据'!$C$2:$C$513,0)+'权重'!$B$3*SUMIFS('原始数据'!$D$2:$D$513,'原始数据'!$A$2:$A$513,A137,'原始数据'!$B$2:$B$513,B137,'原始数据'!$C$2:$C$513,-10)</x:f>
        <x:v>12.403590246554309</x:v>
      </x:c>
    </x:row>
    <x:row r="138">
      <x:c r="A138" s="28" t="n">
        <x:v>26</x:v>
      </x:c>
      <x:c r="B138" s="28" t="n">
        <x:v>26</x:v>
      </x:c>
      <x:c r="C138" s="29" t="n">
        <x:f>ABS(SUMIFS('原始数据'!$D$2:$D$513,'原始数据'!$A$2:$A$513,A138,'原始数据'!$B$2:$B$513,B138,'原始数据'!$C$2:$C$513,0)-SUMIFS('原始数据'!$D$2:$D$513,'原始数据'!$A$2:$A$513,A138,'原始数据'!$B$2:$B$513,B138,'原始数据'!$C$2:$C$513,-10))</x:f>
        <x:v>2.6431613800222014</x:v>
      </x:c>
      <x:c r="D138" s="29" t="n">
        <x:f>'权重'!$B$2*SUMIFS('原始数据'!$D$2:$D$513,'原始数据'!$A$2:$A$513,A138,'原始数据'!$B$2:$B$513,B138,'原始数据'!$C$2:$C$513,0)+'权重'!$B$3*SUMIFS('原始数据'!$D$2:$D$513,'原始数据'!$A$2:$A$513,A138,'原始数据'!$B$2:$B$513,B138,'原始数据'!$C$2:$C$513,-10)</x:f>
        <x:v>12.148020599144438</x:v>
      </x:c>
    </x:row>
    <x:row r="139">
      <x:c r="A139" s="28" t="n">
        <x:v>26</x:v>
      </x:c>
      <x:c r="B139" s="28" t="n">
        <x:v>28</x:v>
      </x:c>
      <x:c r="C139" s="29" t="n">
        <x:f>ABS(SUMIFS('原始数据'!$D$2:$D$513,'原始数据'!$A$2:$A$513,A139,'原始数据'!$B$2:$B$513,B139,'原始数据'!$C$2:$C$513,0)-SUMIFS('原始数据'!$D$2:$D$513,'原始数据'!$A$2:$A$513,A139,'原始数据'!$B$2:$B$513,B139,'原始数据'!$C$2:$C$513,-10))</x:f>
        <x:v>3.1879678844811608</x:v>
      </x:c>
      <x:c r="D139" s="29" t="n">
        <x:f>'权重'!$B$2*SUMIFS('原始数据'!$D$2:$D$513,'原始数据'!$A$2:$A$513,A139,'原始数据'!$B$2:$B$513,B139,'原始数据'!$C$2:$C$513,0)+'权重'!$B$3*SUMIFS('原始数据'!$D$2:$D$513,'原始数据'!$A$2:$A$513,A139,'原始数据'!$B$2:$B$513,B139,'原始数据'!$C$2:$C$513,-10)</x:f>
        <x:v>11.88539442014135</x:v>
      </x:c>
    </x:row>
    <x:row r="140">
      <x:c r="A140" s="28" t="n">
        <x:v>26</x:v>
      </x:c>
      <x:c r="B140" s="28" t="n">
        <x:v>30</x:v>
      </x:c>
      <x:c r="C140" s="29" t="n">
        <x:f>ABS(SUMIFS('原始数据'!$D$2:$D$513,'原始数据'!$A$2:$A$513,A140,'原始数据'!$B$2:$B$513,B140,'原始数据'!$C$2:$C$513,0)-SUMIFS('原始数据'!$D$2:$D$513,'原始数据'!$A$2:$A$513,A140,'原始数据'!$B$2:$B$513,B140,'原始数据'!$C$2:$C$513,-10))</x:f>
        <x:v>3.5927103194647394</x:v>
      </x:c>
      <x:c r="D140" s="29" t="n">
        <x:f>'权重'!$B$2*SUMIFS('原始数据'!$D$2:$D$513,'原始数据'!$A$2:$A$513,A140,'原始数据'!$B$2:$B$513,B140,'原始数据'!$C$2:$C$513,0)+'权重'!$B$3*SUMIFS('原始数据'!$D$2:$D$513,'原始数据'!$A$2:$A$513,A140,'原始数据'!$B$2:$B$513,B140,'原始数据'!$C$2:$C$513,-10)</x:f>
        <x:v>11.782679088732177</x:v>
      </x:c>
    </x:row>
    <x:row r="141">
      <x:c r="A141" s="28" t="n">
        <x:v>26</x:v>
      </x:c>
      <x:c r="B141" s="28" t="n">
        <x:v>32</x:v>
      </x:c>
      <x:c r="C141" s="29" t="n">
        <x:f>ABS(SUMIFS('原始数据'!$D$2:$D$513,'原始数据'!$A$2:$A$513,A141,'原始数据'!$B$2:$B$513,B141,'原始数据'!$C$2:$C$513,0)-SUMIFS('原始数据'!$D$2:$D$513,'原始数据'!$A$2:$A$513,A141,'原始数据'!$B$2:$B$513,B141,'原始数据'!$C$2:$C$513,-10))</x:f>
        <x:v>3.6305693073671303</x:v>
      </x:c>
      <x:c r="D141" s="29" t="n">
        <x:f>'权重'!$B$2*SUMIFS('原始数据'!$D$2:$D$513,'原始数据'!$A$2:$A$513,A141,'原始数据'!$B$2:$B$513,B141,'原始数据'!$C$2:$C$513,0)+'权重'!$B$3*SUMIFS('原始数据'!$D$2:$D$513,'原始数据'!$A$2:$A$513,A141,'原始数据'!$B$2:$B$513,B141,'原始数据'!$C$2:$C$513,-10)</x:f>
        <x:v>11.653182006736362</x:v>
      </x:c>
    </x:row>
    <x:row r="142">
      <x:c r="A142" s="28" t="n">
        <x:v>26</x:v>
      </x:c>
      <x:c r="B142" s="28" t="n">
        <x:v>34</x:v>
      </x:c>
      <x:c r="C142" s="29" t="n">
        <x:f>ABS(SUMIFS('原始数据'!$D$2:$D$513,'原始数据'!$A$2:$A$513,A142,'原始数据'!$B$2:$B$513,B142,'原始数据'!$C$2:$C$513,0)-SUMIFS('原始数据'!$D$2:$D$513,'原始数据'!$A$2:$A$513,A142,'原始数据'!$B$2:$B$513,B142,'原始数据'!$C$2:$C$513,-10))</x:f>
        <x:v>3.5823131976257105</x:v>
      </x:c>
      <x:c r="D142" s="29" t="n">
        <x:f>'权重'!$B$2*SUMIFS('原始数据'!$D$2:$D$513,'原始数据'!$A$2:$A$513,A142,'原始数据'!$B$2:$B$513,B142,'原始数据'!$C$2:$C$513,0)+'权重'!$B$3*SUMIFS('原始数据'!$D$2:$D$513,'原始数据'!$A$2:$A$513,A142,'原始数据'!$B$2:$B$513,B142,'原始数据'!$C$2:$C$513,-10)</x:f>
        <x:v>11.835311742674786</x:v>
      </x:c>
    </x:row>
    <x:row r="143">
      <x:c r="A143" s="28" t="n">
        <x:v>26</x:v>
      </x:c>
      <x:c r="B143" s="28" t="n">
        <x:v>36</x:v>
      </x:c>
      <x:c r="C143" s="29" t="n">
        <x:f>ABS(SUMIFS('原始数据'!$D$2:$D$513,'原始数据'!$A$2:$A$513,A143,'原始数据'!$B$2:$B$513,B143,'原始数据'!$C$2:$C$513,0)-SUMIFS('原始数据'!$D$2:$D$513,'原始数据'!$A$2:$A$513,A143,'原始数据'!$B$2:$B$513,B143,'原始数据'!$C$2:$C$513,-10))</x:f>
        <x:v>2.7299661855689</x:v>
      </x:c>
      <x:c r="D143" s="29" t="n">
        <x:f>'权重'!$B$2*SUMIFS('原始数据'!$D$2:$D$513,'原始数据'!$A$2:$A$513,A143,'原始数据'!$B$2:$B$513,B143,'原始数据'!$C$2:$C$513,0)+'权重'!$B$3*SUMIFS('原始数据'!$D$2:$D$513,'原始数据'!$A$2:$A$513,A143,'原始数据'!$B$2:$B$513,B143,'原始数据'!$C$2:$C$513,-10)</x:f>
        <x:v>12.045507571192328</x:v>
      </x:c>
    </x:row>
    <x:row r="144">
      <x:c r="A144" s="28" t="n">
        <x:v>26</x:v>
      </x:c>
      <x:c r="B144" s="28" t="n">
        <x:v>38</x:v>
      </x:c>
      <x:c r="C144" s="29" t="n">
        <x:f>ABS(SUMIFS('原始数据'!$D$2:$D$513,'原始数据'!$A$2:$A$513,A144,'原始数据'!$B$2:$B$513,B144,'原始数据'!$C$2:$C$513,0)-SUMIFS('原始数据'!$D$2:$D$513,'原始数据'!$A$2:$A$513,A144,'原始数据'!$B$2:$B$513,B144,'原始数据'!$C$2:$C$513,-10))</x:f>
        <x:v>2.0245715222920992</x:v>
      </x:c>
      <x:c r="D144" s="29" t="n">
        <x:f>'权重'!$B$2*SUMIFS('原始数据'!$D$2:$D$513,'原始数据'!$A$2:$A$513,A144,'原始数据'!$B$2:$B$513,B144,'原始数据'!$C$2:$C$513,0)+'权重'!$B$3*SUMIFS('原始数据'!$D$2:$D$513,'原始数据'!$A$2:$A$513,A144,'原始数据'!$B$2:$B$513,B144,'原始数据'!$C$2:$C$513,-10)</x:f>
        <x:v>12.297794030980569</x:v>
      </x:c>
    </x:row>
    <x:row r="145">
      <x:c r="A145" s="28" t="n">
        <x:v>26</x:v>
      </x:c>
      <x:c r="B145" s="28" t="n">
        <x:v>40</x:v>
      </x:c>
      <x:c r="C145" s="29" t="n">
        <x:f>ABS(SUMIFS('原始数据'!$D$2:$D$513,'原始数据'!$A$2:$A$513,A145,'原始数据'!$B$2:$B$513,B145,'原始数据'!$C$2:$C$513,0)-SUMIFS('原始数据'!$D$2:$D$513,'原始数据'!$A$2:$A$513,A145,'原始数据'!$B$2:$B$513,B145,'原始数据'!$C$2:$C$513,-10))</x:f>
        <x:v>1.4497769124832995</x:v>
      </x:c>
      <x:c r="D145" s="29" t="n">
        <x:f>'权重'!$B$2*SUMIFS('原始数据'!$D$2:$D$513,'原始数据'!$A$2:$A$513,A145,'原始数据'!$B$2:$B$513,B145,'原始数据'!$C$2:$C$513,0)+'权重'!$B$3*SUMIFS('原始数据'!$D$2:$D$513,'原始数据'!$A$2:$A$513,A145,'原始数据'!$B$2:$B$513,B145,'原始数据'!$C$2:$C$513,-10)</x:f>
        <x:v>12.444393838639508</x:v>
      </x:c>
    </x:row>
    <x:row r="146">
      <x:c r="A146" s="28" t="n">
        <x:v>28</x:v>
      </x:c>
      <x:c r="B146" s="28" t="n">
        <x:v>10</x:v>
      </x:c>
      <x:c r="C146" s="29" t="n">
        <x:f>ABS(SUMIFS('原始数据'!$D$2:$D$513,'原始数据'!$A$2:$A$513,A146,'原始数据'!$B$2:$B$513,B146,'原始数据'!$C$2:$C$513,0)-SUMIFS('原始数据'!$D$2:$D$513,'原始数据'!$A$2:$A$513,A146,'原始数据'!$B$2:$B$513,B146,'原始数据'!$C$2:$C$513,-10))</x:f>
        <x:v>13.0853481883183</x:v>
      </x:c>
      <x:c r="D146" s="29" t="n">
        <x:f>'权重'!$B$2*SUMIFS('原始数据'!$D$2:$D$513,'原始数据'!$A$2:$A$513,A146,'原始数据'!$B$2:$B$513,B146,'原始数据'!$C$2:$C$513,0)+'权重'!$B$3*SUMIFS('原始数据'!$D$2:$D$513,'原始数据'!$A$2:$A$513,A146,'原始数据'!$B$2:$B$513,B146,'原始数据'!$C$2:$C$513,-10)</x:f>
        <x:v>6.0537105322367895</x:v>
      </x:c>
    </x:row>
    <x:row r="147">
      <x:c r="A147" s="28" t="n">
        <x:v>28</x:v>
      </x:c>
      <x:c r="B147" s="28" t="n">
        <x:v>12</x:v>
      </x:c>
      <x:c r="C147" s="29" t="n">
        <x:f>ABS(SUMIFS('原始数据'!$D$2:$D$513,'原始数据'!$A$2:$A$513,A147,'原始数据'!$B$2:$B$513,B147,'原始数据'!$C$2:$C$513,0)-SUMIFS('原始数据'!$D$2:$D$513,'原始数据'!$A$2:$A$513,A147,'原始数据'!$B$2:$B$513,B147,'原始数据'!$C$2:$C$513,-10))</x:f>
        <x:v>9.19609981010683</x:v>
      </x:c>
      <x:c r="D147" s="29" t="n">
        <x:f>'权重'!$B$2*SUMIFS('原始数据'!$D$2:$D$513,'原始数据'!$A$2:$A$513,A147,'原始数据'!$B$2:$B$513,B147,'原始数据'!$C$2:$C$513,0)+'权重'!$B$3*SUMIFS('原始数据'!$D$2:$D$513,'原始数据'!$A$2:$A$513,A147,'原始数据'!$B$2:$B$513,B147,'原始数据'!$C$2:$C$513,-10)</x:f>
        <x:v>7.75652374154622</x:v>
      </x:c>
    </x:row>
    <x:row r="148">
      <x:c r="A148" s="28" t="n">
        <x:v>28</x:v>
      </x:c>
      <x:c r="B148" s="28" t="n">
        <x:v>14</x:v>
      </x:c>
      <x:c r="C148" s="29" t="n">
        <x:f>ABS(SUMIFS('原始数据'!$D$2:$D$513,'原始数据'!$A$2:$A$513,A148,'原始数据'!$B$2:$B$513,B148,'原始数据'!$C$2:$C$513,0)-SUMIFS('原始数据'!$D$2:$D$513,'原始数据'!$A$2:$A$513,A148,'原始数据'!$B$2:$B$513,B148,'原始数据'!$C$2:$C$513,-10))</x:f>
        <x:v>0.9862491246315006</x:v>
      </x:c>
      <x:c r="D148" s="29" t="n">
        <x:f>'权重'!$B$2*SUMIFS('原始数据'!$D$2:$D$513,'原始数据'!$A$2:$A$513,A148,'原始数据'!$B$2:$B$513,B148,'原始数据'!$C$2:$C$513,0)+'权重'!$B$3*SUMIFS('原始数据'!$D$2:$D$513,'原始数据'!$A$2:$A$513,A148,'原始数据'!$B$2:$B$513,B148,'原始数据'!$C$2:$C$513,-10)</x:f>
        <x:v>12.283693074660748</x:v>
      </x:c>
    </x:row>
    <x:row r="149">
      <x:c r="A149" s="28" t="n">
        <x:v>28</x:v>
      </x:c>
      <x:c r="B149" s="28" t="n">
        <x:v>16</x:v>
      </x:c>
      <x:c r="C149" s="29" t="n">
        <x:f>ABS(SUMIFS('原始数据'!$D$2:$D$513,'原始数据'!$A$2:$A$513,A149,'原始数据'!$B$2:$B$513,B149,'原始数据'!$C$2:$C$513,0)-SUMIFS('原始数据'!$D$2:$D$513,'原始数据'!$A$2:$A$513,A149,'原始数据'!$B$2:$B$513,B149,'原始数据'!$C$2:$C$513,-10))</x:f>
        <x:v>2.8692103676079004</x:v>
      </x:c>
      <x:c r="D149" s="29" t="n">
        <x:f>'权重'!$B$2*SUMIFS('原始数据'!$D$2:$D$513,'原始数据'!$A$2:$A$513,A149,'原始数据'!$B$2:$B$513,B149,'原始数据'!$C$2:$C$513,0)+'权重'!$B$3*SUMIFS('原始数据'!$D$2:$D$513,'原始数据'!$A$2:$A$513,A149,'原始数据'!$B$2:$B$513,B149,'原始数据'!$C$2:$C$513,-10)</x:f>
        <x:v>13.83439610661473</x:v>
      </x:c>
    </x:row>
    <x:row r="150">
      <x:c r="A150" s="28" t="n">
        <x:v>28</x:v>
      </x:c>
      <x:c r="B150" s="28" t="n">
        <x:v>18</x:v>
      </x:c>
      <x:c r="C150" s="29" t="n">
        <x:f>ABS(SUMIFS('原始数据'!$D$2:$D$513,'原始数据'!$A$2:$A$513,A150,'原始数据'!$B$2:$B$513,B150,'原始数据'!$C$2:$C$513,0)-SUMIFS('原始数据'!$D$2:$D$513,'原始数据'!$A$2:$A$513,A150,'原始数据'!$B$2:$B$513,B150,'原始数据'!$C$2:$C$513,-10))</x:f>
        <x:v>3.7674693665189984</x:v>
      </x:c>
      <x:c r="D150" s="29" t="n">
        <x:f>'权重'!$B$2*SUMIFS('原始数据'!$D$2:$D$513,'原始数据'!$A$2:$A$513,A150,'原始数据'!$B$2:$B$513,B150,'原始数据'!$C$2:$C$513,0)+'权重'!$B$3*SUMIFS('原始数据'!$D$2:$D$513,'原始数据'!$A$2:$A$513,A150,'原始数据'!$B$2:$B$513,B150,'原始数据'!$C$2:$C$513,-10)</x:f>
        <x:v>13.1027343413807</x:v>
      </x:c>
    </x:row>
    <x:row r="151">
      <x:c r="A151" s="28" t="n">
        <x:v>28</x:v>
      </x:c>
      <x:c r="B151" s="28" t="n">
        <x:v>20</x:v>
      </x:c>
      <x:c r="C151" s="29" t="n">
        <x:f>ABS(SUMIFS('原始数据'!$D$2:$D$513,'原始数据'!$A$2:$A$513,A151,'原始数据'!$B$2:$B$513,B151,'原始数据'!$C$2:$C$513,0)-SUMIFS('原始数据'!$D$2:$D$513,'原始数据'!$A$2:$A$513,A151,'原始数据'!$B$2:$B$513,B151,'原始数据'!$C$2:$C$513,-10))</x:f>
        <x:v>4.80663477774643</x:v>
      </x:c>
      <x:c r="D151" s="29" t="n">
        <x:f>'权重'!$B$2*SUMIFS('原始数据'!$D$2:$D$513,'原始数据'!$A$2:$A$513,A151,'原始数据'!$B$2:$B$513,B151,'原始数据'!$C$2:$C$513,0)+'权重'!$B$3*SUMIFS('原始数据'!$D$2:$D$513,'原始数据'!$A$2:$A$513,A151,'原始数据'!$B$2:$B$513,B151,'原始数据'!$C$2:$C$513,-10)</x:f>
        <x:v>12.27670003753847</x:v>
      </x:c>
    </x:row>
    <x:row r="152">
      <x:c r="A152" s="28" t="n">
        <x:v>28</x:v>
      </x:c>
      <x:c r="B152" s="28" t="n">
        <x:v>22</x:v>
      </x:c>
      <x:c r="C152" s="29" t="n">
        <x:f>ABS(SUMIFS('原始数据'!$D$2:$D$513,'原始数据'!$A$2:$A$513,A152,'原始数据'!$B$2:$B$513,B152,'原始数据'!$C$2:$C$513,0)-SUMIFS('原始数据'!$D$2:$D$513,'原始数据'!$A$2:$A$513,A152,'原始数据'!$B$2:$B$513,B152,'原始数据'!$C$2:$C$513,-10))</x:f>
        <x:v>5.70832001030294</x:v>
      </x:c>
      <x:c r="D152" s="29" t="n">
        <x:f>'权重'!$B$2*SUMIFS('原始数据'!$D$2:$D$513,'原始数据'!$A$2:$A$513,A152,'原始数据'!$B$2:$B$513,B152,'原始数据'!$C$2:$C$513,0)+'权重'!$B$3*SUMIFS('原始数据'!$D$2:$D$513,'原始数据'!$A$2:$A$513,A152,'原始数据'!$B$2:$B$513,B152,'原始数据'!$C$2:$C$513,-10)</x:f>
        <x:v>11.739686266278817</x:v>
      </x:c>
    </x:row>
    <x:row r="153">
      <x:c r="A153" s="28" t="n">
        <x:v>28</x:v>
      </x:c>
      <x:c r="B153" s="28" t="n">
        <x:v>24</x:v>
      </x:c>
      <x:c r="C153" s="29" t="n">
        <x:f>ABS(SUMIFS('原始数据'!$D$2:$D$513,'原始数据'!$A$2:$A$513,A153,'原始数据'!$B$2:$B$513,B153,'原始数据'!$C$2:$C$513,0)-SUMIFS('原始数据'!$D$2:$D$513,'原始数据'!$A$2:$A$513,A153,'原始数据'!$B$2:$B$513,B153,'原始数据'!$C$2:$C$513,-10))</x:f>
        <x:v>1.8156093743000987</x:v>
      </x:c>
      <x:c r="D153" s="29" t="n">
        <x:f>'权重'!$B$2*SUMIFS('原始数据'!$D$2:$D$513,'原始数据'!$A$2:$A$513,A153,'原始数据'!$B$2:$B$513,B153,'原始数据'!$C$2:$C$513,0)+'权重'!$B$3*SUMIFS('原始数据'!$D$2:$D$513,'原始数据'!$A$2:$A$513,A153,'原始数据'!$B$2:$B$513,B153,'原始数据'!$C$2:$C$513,-10)</x:f>
        <x:v>12.617483628408769</x:v>
      </x:c>
    </x:row>
    <x:row r="154">
      <x:c r="A154" s="28" t="n">
        <x:v>28</x:v>
      </x:c>
      <x:c r="B154" s="28" t="n">
        <x:v>26</x:v>
      </x:c>
      <x:c r="C154" s="29" t="n">
        <x:f>ABS(SUMIFS('原始数据'!$D$2:$D$513,'原始数据'!$A$2:$A$513,A154,'原始数据'!$B$2:$B$513,B154,'原始数据'!$C$2:$C$513,0)-SUMIFS('原始数据'!$D$2:$D$513,'原始数据'!$A$2:$A$513,A154,'原始数据'!$B$2:$B$513,B154,'原始数据'!$C$2:$C$513,-10))</x:f>
        <x:v>0.3303613094594997</x:v>
      </x:c>
      <x:c r="D154" s="29" t="n">
        <x:f>'权重'!$B$2*SUMIFS('原始数据'!$D$2:$D$513,'原始数据'!$A$2:$A$513,A154,'原始数据'!$B$2:$B$513,B154,'原始数据'!$C$2:$C$513,0)+'权重'!$B$3*SUMIFS('原始数据'!$D$2:$D$513,'原始数据'!$A$2:$A$513,A154,'原始数据'!$B$2:$B$513,B154,'原始数据'!$C$2:$C$513,-10)</x:f>
        <x:v>12.868616976780547</x:v>
      </x:c>
    </x:row>
    <x:row r="155">
      <x:c r="A155" s="28" t="n">
        <x:v>28</x:v>
      </x:c>
      <x:c r="B155" s="28" t="n">
        <x:v>28</x:v>
      </x:c>
      <x:c r="C155" s="29" t="n">
        <x:f>ABS(SUMIFS('原始数据'!$D$2:$D$513,'原始数据'!$A$2:$A$513,A155,'原始数据'!$B$2:$B$513,B155,'原始数据'!$C$2:$C$513,0)-SUMIFS('原始数据'!$D$2:$D$513,'原始数据'!$A$2:$A$513,A155,'原始数据'!$B$2:$B$513,B155,'原始数据'!$C$2:$C$513,-10))</x:f>
        <x:v>1.0346418844621006</x:v>
      </x:c>
      <x:c r="D155" s="29" t="n">
        <x:f>'权重'!$B$2*SUMIFS('原始数据'!$D$2:$D$513,'原始数据'!$A$2:$A$513,A155,'原始数据'!$B$2:$B$513,B155,'原始数据'!$C$2:$C$513,0)+'权重'!$B$3*SUMIFS('原始数据'!$D$2:$D$513,'原始数据'!$A$2:$A$513,A155,'原始数据'!$B$2:$B$513,B155,'原始数据'!$C$2:$C$513,-10)</x:f>
        <x:v>12.556465490857871</x:v>
      </x:c>
    </x:row>
    <x:row r="156">
      <x:c r="A156" s="28" t="n">
        <x:v>28</x:v>
      </x:c>
      <x:c r="B156" s="28" t="n">
        <x:v>30</x:v>
      </x:c>
      <x:c r="C156" s="29" t="n">
        <x:f>ABS(SUMIFS('原始数据'!$D$2:$D$513,'原始数据'!$A$2:$A$513,A156,'原始数据'!$B$2:$B$513,B156,'原始数据'!$C$2:$C$513,0)-SUMIFS('原始数据'!$D$2:$D$513,'原始数据'!$A$2:$A$513,A156,'原始数据'!$B$2:$B$513,B156,'原始数据'!$C$2:$C$513,-10))</x:f>
        <x:v>1.5004731304426997</x:v>
      </x:c>
      <x:c r="D156" s="29" t="n">
        <x:f>'权重'!$B$2*SUMIFS('原始数据'!$D$2:$D$513,'原始数据'!$A$2:$A$513,A156,'原始数据'!$B$2:$B$513,B156,'原始数据'!$C$2:$C$513,0)+'权重'!$B$3*SUMIFS('原始数据'!$D$2:$D$513,'原始数据'!$A$2:$A$513,A156,'原始数据'!$B$2:$B$513,B156,'原始数据'!$C$2:$C$513,-10)</x:f>
        <x:v>12.33100601724659</x:v>
      </x:c>
    </x:row>
    <x:row r="157">
      <x:c r="A157" s="28" t="n">
        <x:v>28</x:v>
      </x:c>
      <x:c r="B157" s="28" t="n">
        <x:v>32</x:v>
      </x:c>
      <x:c r="C157" s="29" t="n">
        <x:f>ABS(SUMIFS('原始数据'!$D$2:$D$513,'原始数据'!$A$2:$A$513,A157,'原始数据'!$B$2:$B$513,B157,'原始数据'!$C$2:$C$513,0)-SUMIFS('原始数据'!$D$2:$D$513,'原始数据'!$A$2:$A$513,A157,'原始数据'!$B$2:$B$513,B157,'原始数据'!$C$2:$C$513,-10))</x:f>
        <x:v>1.7219556974783998</x:v>
      </x:c>
      <x:c r="D157" s="29" t="n">
        <x:f>'权重'!$B$2*SUMIFS('原始数据'!$D$2:$D$513,'原始数据'!$A$2:$A$513,A157,'原始数据'!$B$2:$B$513,B157,'原始数据'!$C$2:$C$513,0)+'权重'!$B$3*SUMIFS('原始数据'!$D$2:$D$513,'原始数据'!$A$2:$A$513,A157,'原始数据'!$B$2:$B$513,B157,'原始数据'!$C$2:$C$513,-10)</x:f>
        <x:v>12.209836743539281</x:v>
      </x:c>
    </x:row>
    <x:row r="158">
      <x:c r="A158" s="28" t="n">
        <x:v>28</x:v>
      </x:c>
      <x:c r="B158" s="28" t="n">
        <x:v>34</x:v>
      </x:c>
      <x:c r="C158" s="29" t="n">
        <x:f>ABS(SUMIFS('原始数据'!$D$2:$D$513,'原始数据'!$A$2:$A$513,A158,'原始数据'!$B$2:$B$513,B158,'原始数据'!$C$2:$C$513,0)-SUMIFS('原始数据'!$D$2:$D$513,'原始数据'!$A$2:$A$513,A158,'原始数据'!$B$2:$B$513,B158,'原始数据'!$C$2:$C$513,-10))</x:f>
        <x:v>1.7594030259192994</x:v>
      </x:c>
      <x:c r="D158" s="29" t="n">
        <x:f>'权重'!$B$2*SUMIFS('原始数据'!$D$2:$D$513,'原始数据'!$A$2:$A$513,A158,'原始数据'!$B$2:$B$513,B158,'原始数据'!$C$2:$C$513,0)+'权重'!$B$3*SUMIFS('原始数据'!$D$2:$D$513,'原始数据'!$A$2:$A$513,A158,'原始数据'!$B$2:$B$513,B158,'原始数据'!$C$2:$C$513,-10)</x:f>
        <x:v>12.232811399171709</x:v>
      </x:c>
    </x:row>
    <x:row r="159">
      <x:c r="A159" s="28" t="n">
        <x:v>28</x:v>
      </x:c>
      <x:c r="B159" s="28" t="n">
        <x:v>36</x:v>
      </x:c>
      <x:c r="C159" s="29" t="n">
        <x:f>ABS(SUMIFS('原始数据'!$D$2:$D$513,'原始数据'!$A$2:$A$513,A159,'原始数据'!$B$2:$B$513,B159,'原始数据'!$C$2:$C$513,0)-SUMIFS('原始数据'!$D$2:$D$513,'原始数据'!$A$2:$A$513,A159,'原始数据'!$B$2:$B$513,B159,'原始数据'!$C$2:$C$513,-10))</x:f>
        <x:v>1.3507671644808</x:v>
      </x:c>
      <x:c r="D159" s="29" t="n">
        <x:f>'权重'!$B$2*SUMIFS('原始数据'!$D$2:$D$513,'原始数据'!$A$2:$A$513,A159,'原始数据'!$B$2:$B$513,B159,'原始数据'!$C$2:$C$513,0)+'权重'!$B$3*SUMIFS('原始数据'!$D$2:$D$513,'原始数据'!$A$2:$A$513,A159,'原始数据'!$B$2:$B$513,B159,'原始数据'!$C$2:$C$513,-10)</x:f>
        <x:v>12.433425958745659</x:v>
      </x:c>
    </x:row>
    <x:row r="160">
      <x:c r="A160" s="28" t="n">
        <x:v>28</x:v>
      </x:c>
      <x:c r="B160" s="28" t="n">
        <x:v>38</x:v>
      </x:c>
      <x:c r="C160" s="29" t="n">
        <x:f>ABS(SUMIFS('原始数据'!$D$2:$D$513,'原始数据'!$A$2:$A$513,A160,'原始数据'!$B$2:$B$513,B160,'原始数据'!$C$2:$C$513,0)-SUMIFS('原始数据'!$D$2:$D$513,'原始数据'!$A$2:$A$513,A160,'原始数据'!$B$2:$B$513,B160,'原始数据'!$C$2:$C$513,-10))</x:f>
        <x:v>0.5405165200992013</x:v>
      </x:c>
      <x:c r="D160" s="29" t="n">
        <x:f>'权重'!$B$2*SUMIFS('原始数据'!$D$2:$D$513,'原始数据'!$A$2:$A$513,A160,'原始数据'!$B$2:$B$513,B160,'原始数据'!$C$2:$C$513,0)+'权重'!$B$3*SUMIFS('原始数据'!$D$2:$D$513,'原始数据'!$A$2:$A$513,A160,'原始数据'!$B$2:$B$513,B160,'原始数据'!$C$2:$C$513,-10)</x:f>
        <x:v>12.59268294201244</x:v>
      </x:c>
    </x:row>
    <x:row r="161">
      <x:c r="A161" s="28" t="n">
        <x:v>28</x:v>
      </x:c>
      <x:c r="B161" s="28" t="n">
        <x:v>40</x:v>
      </x:c>
      <x:c r="C161" s="29" t="n">
        <x:f>ABS(SUMIFS('原始数据'!$D$2:$D$513,'原始数据'!$A$2:$A$513,A161,'原始数据'!$B$2:$B$513,B161,'原始数据'!$C$2:$C$513,0)-SUMIFS('原始数据'!$D$2:$D$513,'原始数据'!$A$2:$A$513,A161,'原始数据'!$B$2:$B$513,B161,'原始数据'!$C$2:$C$513,-10))</x:f>
        <x:v>0.06890007378589935</x:v>
      </x:c>
      <x:c r="D161" s="29" t="n">
        <x:f>'权重'!$B$2*SUMIFS('原始数据'!$D$2:$D$513,'原始数据'!$A$2:$A$513,A161,'原始数据'!$B$2:$B$513,B161,'原始数据'!$C$2:$C$513,0)+'权重'!$B$3*SUMIFS('原始数据'!$D$2:$D$513,'原始数据'!$A$2:$A$513,A161,'原始数据'!$B$2:$B$513,B161,'原始数据'!$C$2:$C$513,-10)</x:f>
        <x:v>12.86735937445567</x:v>
      </x:c>
    </x:row>
    <x:row r="162">
      <x:c r="A162" s="28" t="n">
        <x:v>30</x:v>
      </x:c>
      <x:c r="B162" s="28" t="n">
        <x:v>10</x:v>
      </x:c>
      <x:c r="C162" s="29" t="n">
        <x:f>ABS(SUMIFS('原始数据'!$D$2:$D$513,'原始数据'!$A$2:$A$513,A162,'原始数据'!$B$2:$B$513,B162,'原始数据'!$C$2:$C$513,0)-SUMIFS('原始数据'!$D$2:$D$513,'原始数据'!$A$2:$A$513,A162,'原始数据'!$B$2:$B$513,B162,'原始数据'!$C$2:$C$513,-10))</x:f>
        <x:v>13.663064328993379</x:v>
      </x:c>
      <x:c r="D162" s="29" t="n">
        <x:f>'权重'!$B$2*SUMIFS('原始数据'!$D$2:$D$513,'原始数据'!$A$2:$A$513,A162,'原始数据'!$B$2:$B$513,B162,'原始数据'!$C$2:$C$513,0)+'权重'!$B$3*SUMIFS('原始数据'!$D$2:$D$513,'原始数据'!$A$2:$A$513,A162,'原始数据'!$B$2:$B$513,B162,'原始数据'!$C$2:$C$513,-10)</x:f>
        <x:v>5.533409199586133</x:v>
      </x:c>
    </x:row>
    <x:row r="163">
      <x:c r="A163" s="28" t="n">
        <x:v>30</x:v>
      </x:c>
      <x:c r="B163" s="28" t="n">
        <x:v>12</x:v>
      </x:c>
      <x:c r="C163" s="29" t="n">
        <x:f>ABS(SUMIFS('原始数据'!$D$2:$D$513,'原始数据'!$A$2:$A$513,A163,'原始数据'!$B$2:$B$513,B163,'原始数据'!$C$2:$C$513,0)-SUMIFS('原始数据'!$D$2:$D$513,'原始数据'!$A$2:$A$513,A163,'原始数据'!$B$2:$B$513,B163,'原始数据'!$C$2:$C$513,-10))</x:f>
        <x:v>11.09074438969153</x:v>
      </x:c>
      <x:c r="D163" s="29" t="n">
        <x:f>'权重'!$B$2*SUMIFS('原始数据'!$D$2:$D$513,'原始数据'!$A$2:$A$513,A163,'原始数据'!$B$2:$B$513,B163,'原始数据'!$C$2:$C$513,0)+'权重'!$B$3*SUMIFS('原始数据'!$D$2:$D$513,'原始数据'!$A$2:$A$513,A163,'原始数据'!$B$2:$B$513,B163,'原始数据'!$C$2:$C$513,-10)</x:f>
        <x:v>6.518533996569129</x:v>
      </x:c>
    </x:row>
    <x:row r="164">
      <x:c r="A164" s="28" t="n">
        <x:v>30</x:v>
      </x:c>
      <x:c r="B164" s="28" t="n">
        <x:v>14</x:v>
      </x:c>
      <x:c r="C164" s="29" t="n">
        <x:f>ABS(SUMIFS('原始数据'!$D$2:$D$513,'原始数据'!$A$2:$A$513,A164,'原始数据'!$B$2:$B$513,B164,'原始数据'!$C$2:$C$513,0)-SUMIFS('原始数据'!$D$2:$D$513,'原始数据'!$A$2:$A$513,A164,'原始数据'!$B$2:$B$513,B164,'原始数据'!$C$2:$C$513,-10))</x:f>
        <x:v>5.257752368310699</x:v>
      </x:c>
      <x:c r="D164" s="29" t="n">
        <x:f>'权重'!$B$2*SUMIFS('原始数据'!$D$2:$D$513,'原始数据'!$A$2:$A$513,A164,'原始数据'!$B$2:$B$513,B164,'原始数据'!$C$2:$C$513,0)+'权重'!$B$3*SUMIFS('原始数据'!$D$2:$D$513,'原始数据'!$A$2:$A$513,A164,'原始数据'!$B$2:$B$513,B164,'原始数据'!$C$2:$C$513,-10)</x:f>
        <x:v>9.71172182274951</x:v>
      </x:c>
    </x:row>
    <x:row r="165">
      <x:c r="A165" s="28" t="n">
        <x:v>30</x:v>
      </x:c>
      <x:c r="B165" s="28" t="n">
        <x:v>16</x:v>
      </x:c>
      <x:c r="C165" s="29" t="n">
        <x:f>ABS(SUMIFS('原始数据'!$D$2:$D$513,'原始数据'!$A$2:$A$513,A165,'原始数据'!$B$2:$B$513,B165,'原始数据'!$C$2:$C$513,0)-SUMIFS('原始数据'!$D$2:$D$513,'原始数据'!$A$2:$A$513,A165,'原始数据'!$B$2:$B$513,B165,'原始数据'!$C$2:$C$513,-10))</x:f>
        <x:v>1.803879630645799</x:v>
      </x:c>
      <x:c r="D165" s="29" t="n">
        <x:f>'权重'!$B$2*SUMIFS('原始数据'!$D$2:$D$513,'原始数据'!$A$2:$A$513,A165,'原始数据'!$B$2:$B$513,B165,'原始数据'!$C$2:$C$513,0)+'权重'!$B$3*SUMIFS('原始数据'!$D$2:$D$513,'原始数据'!$A$2:$A$513,A165,'原始数据'!$B$2:$B$513,B165,'原始数据'!$C$2:$C$513,-10)</x:f>
        <x:v>13.744585607196457</x:v>
      </x:c>
    </x:row>
    <x:row r="166">
      <x:c r="A166" s="28" t="n">
        <x:v>30</x:v>
      </x:c>
      <x:c r="B166" s="28" t="n">
        <x:v>18</x:v>
      </x:c>
      <x:c r="C166" s="29" t="n">
        <x:f>ABS(SUMIFS('原始数据'!$D$2:$D$513,'原始数据'!$A$2:$A$513,A166,'原始数据'!$B$2:$B$513,B166,'原始数据'!$C$2:$C$513,0)-SUMIFS('原始数据'!$D$2:$D$513,'原始数据'!$A$2:$A$513,A166,'原始数据'!$B$2:$B$513,B166,'原始数据'!$C$2:$C$513,-10))</x:f>
        <x:v>3.145872164637499</x:v>
      </x:c>
      <x:c r="D166" s="29" t="n">
        <x:f>'权重'!$B$2*SUMIFS('原始数据'!$D$2:$D$513,'原始数据'!$A$2:$A$513,A166,'原始数据'!$B$2:$B$513,B166,'原始数据'!$C$2:$C$513,0)+'权重'!$B$3*SUMIFS('原始数据'!$D$2:$D$513,'原始数据'!$A$2:$A$513,A166,'原始数据'!$B$2:$B$513,B166,'原始数据'!$C$2:$C$513,-10)</x:f>
        <x:v>13.582502744278049</x:v>
      </x:c>
    </x:row>
    <x:row r="167">
      <x:c r="A167" s="28" t="n">
        <x:v>30</x:v>
      </x:c>
      <x:c r="B167" s="28" t="n">
        <x:v>20</x:v>
      </x:c>
      <x:c r="C167" s="29" t="n">
        <x:f>ABS(SUMIFS('原始数据'!$D$2:$D$513,'原始数据'!$A$2:$A$513,A167,'原始数据'!$B$2:$B$513,B167,'原始数据'!$C$2:$C$513,0)-SUMIFS('原始数据'!$D$2:$D$513,'原始数据'!$A$2:$A$513,A167,'原始数据'!$B$2:$B$513,B167,'原始数据'!$C$2:$C$513,-10))</x:f>
        <x:v>3.8717405596263017</x:v>
      </x:c>
      <x:c r="D167" s="29" t="n">
        <x:f>'权重'!$B$2*SUMIFS('原始数据'!$D$2:$D$513,'原始数据'!$A$2:$A$513,A167,'原始数据'!$B$2:$B$513,B167,'原始数据'!$C$2:$C$513,0)+'权重'!$B$3*SUMIFS('原始数据'!$D$2:$D$513,'原始数据'!$A$2:$A$513,A167,'原始数据'!$B$2:$B$513,B167,'原始数据'!$C$2:$C$513,-10)</x:f>
        <x:v>12.790392484793509</x:v>
      </x:c>
    </x:row>
    <x:row r="168">
      <x:c r="A168" s="28" t="n">
        <x:v>30</x:v>
      </x:c>
      <x:c r="B168" s="28" t="n">
        <x:v>22</x:v>
      </x:c>
      <x:c r="C168" s="29" t="n">
        <x:f>ABS(SUMIFS('原始数据'!$D$2:$D$513,'原始数据'!$A$2:$A$513,A168,'原始数据'!$B$2:$B$513,B168,'原始数据'!$C$2:$C$513,0)-SUMIFS('原始数据'!$D$2:$D$513,'原始数据'!$A$2:$A$513,A168,'原始数据'!$B$2:$B$513,B168,'原始数据'!$C$2:$C$513,-10))</x:f>
        <x:v>4.561274923250741</x:v>
      </x:c>
      <x:c r="D168" s="29" t="n">
        <x:f>'权重'!$B$2*SUMIFS('原始数据'!$D$2:$D$513,'原始数据'!$A$2:$A$513,A168,'原始数据'!$B$2:$B$513,B168,'原始数据'!$C$2:$C$513,0)+'权重'!$B$3*SUMIFS('原始数据'!$D$2:$D$513,'原始数据'!$A$2:$A$513,A168,'原始数据'!$B$2:$B$513,B168,'原始数据'!$C$2:$C$513,-10)</x:f>
        <x:v>12.096817227068776</x:v>
      </x:c>
    </x:row>
    <x:row r="169">
      <x:c r="A169" s="28" t="n">
        <x:v>30</x:v>
      </x:c>
      <x:c r="B169" s="28" t="n">
        <x:v>24</x:v>
      </x:c>
      <x:c r="C169" s="29" t="n">
        <x:f>ABS(SUMIFS('原始数据'!$D$2:$D$513,'原始数据'!$A$2:$A$513,A169,'原始数据'!$B$2:$B$513,B169,'原始数据'!$C$2:$C$513,0)-SUMIFS('原始数据'!$D$2:$D$513,'原始数据'!$A$2:$A$513,A169,'原始数据'!$B$2:$B$513,B169,'原始数据'!$C$2:$C$513,-10))</x:f>
        <x:v>3.3040529711856994</x:v>
      </x:c>
      <x:c r="D169" s="29" t="n">
        <x:f>'权重'!$B$2*SUMIFS('原始数据'!$D$2:$D$513,'原始数据'!$A$2:$A$513,A169,'原始数据'!$B$2:$B$513,B169,'原始数据'!$C$2:$C$513,0)+'权重'!$B$3*SUMIFS('原始数据'!$D$2:$D$513,'原始数据'!$A$2:$A$513,A169,'原始数据'!$B$2:$B$513,B169,'原始数据'!$C$2:$C$513,-10)</x:f>
        <x:v>12.184033551207389</x:v>
      </x:c>
    </x:row>
    <x:row r="170">
      <x:c r="A170" s="28" t="n">
        <x:v>30</x:v>
      </x:c>
      <x:c r="B170" s="28" t="n">
        <x:v>26</x:v>
      </x:c>
      <x:c r="C170" s="29" t="n">
        <x:f>ABS(SUMIFS('原始数据'!$D$2:$D$513,'原始数据'!$A$2:$A$513,A170,'原始数据'!$B$2:$B$513,B170,'原始数据'!$C$2:$C$513,0)-SUMIFS('原始数据'!$D$2:$D$513,'原始数据'!$A$2:$A$513,A170,'原始数据'!$B$2:$B$513,B170,'原始数据'!$C$2:$C$513,-10))</x:f>
        <x:v>1.1033517346817003</x:v>
      </x:c>
      <x:c r="D170" s="29" t="n">
        <x:f>'权重'!$B$2*SUMIFS('原始数据'!$D$2:$D$513,'原始数据'!$A$2:$A$513,A170,'原始数据'!$B$2:$B$513,B170,'原始数据'!$C$2:$C$513,0)+'权重'!$B$3*SUMIFS('原始数据'!$D$2:$D$513,'原始数据'!$A$2:$A$513,A170,'原始数据'!$B$2:$B$513,B170,'原始数据'!$C$2:$C$513,-10)</x:f>
        <x:v>13.32421950387421</x:v>
      </x:c>
    </x:row>
    <x:row r="171">
      <x:c r="A171" s="28" t="n">
        <x:v>30</x:v>
      </x:c>
      <x:c r="B171" s="28" t="n">
        <x:v>28</x:v>
      </x:c>
      <x:c r="C171" s="29" t="n">
        <x:f>ABS(SUMIFS('原始数据'!$D$2:$D$513,'原始数据'!$A$2:$A$513,A171,'原始数据'!$B$2:$B$513,B171,'原始数据'!$C$2:$C$513,0)-SUMIFS('原始数据'!$D$2:$D$513,'原始数据'!$A$2:$A$513,A171,'原始数据'!$B$2:$B$513,B171,'原始数据'!$C$2:$C$513,-10))</x:f>
        <x:v>0.6976726789946994</x:v>
      </x:c>
      <x:c r="D171" s="29" t="n">
        <x:f>'权重'!$B$2*SUMIFS('原始数据'!$D$2:$D$513,'原始数据'!$A$2:$A$513,A171,'原始数据'!$B$2:$B$513,B171,'原始数据'!$C$2:$C$513,0)+'权重'!$B$3*SUMIFS('原始数据'!$D$2:$D$513,'原始数据'!$A$2:$A$513,A171,'原始数据'!$B$2:$B$513,B171,'原始数据'!$C$2:$C$513,-10)</x:f>
        <x:v>13.052733825318008</x:v>
      </x:c>
    </x:row>
    <x:row r="172">
      <x:c r="A172" s="28" t="n">
        <x:v>30</x:v>
      </x:c>
      <x:c r="B172" s="28" t="n">
        <x:v>30</x:v>
      </x:c>
      <x:c r="C172" s="29" t="n">
        <x:f>ABS(SUMIFS('原始数据'!$D$2:$D$513,'原始数据'!$A$2:$A$513,A172,'原始数据'!$B$2:$B$513,B172,'原始数据'!$C$2:$C$513,0)-SUMIFS('原始数据'!$D$2:$D$513,'原始数据'!$A$2:$A$513,A172,'原始数据'!$B$2:$B$513,B172,'原始数据'!$C$2:$C$513,-10))</x:f>
        <x:v>0.11870089302860087</x:v>
      </x:c>
      <x:c r="D172" s="29" t="n">
        <x:f>'权重'!$B$2*SUMIFS('原始数据'!$D$2:$D$513,'原始数据'!$A$2:$A$513,A172,'原始数据'!$B$2:$B$513,B172,'原始数据'!$C$2:$C$513,0)+'权重'!$B$3*SUMIFS('原始数据'!$D$2:$D$513,'原始数据'!$A$2:$A$513,A172,'原始数据'!$B$2:$B$513,B172,'原始数据'!$C$2:$C$513,-10)</x:f>
        <x:v>12.82195072750552</x:v>
      </x:c>
    </x:row>
    <x:row r="173">
      <x:c r="A173" s="28" t="n">
        <x:v>30</x:v>
      </x:c>
      <x:c r="B173" s="28" t="n">
        <x:v>32</x:v>
      </x:c>
      <x:c r="C173" s="29" t="n">
        <x:f>ABS(SUMIFS('原始数据'!$D$2:$D$513,'原始数据'!$A$2:$A$513,A173,'原始数据'!$B$2:$B$513,B173,'原始数据'!$C$2:$C$513,0)-SUMIFS('原始数据'!$D$2:$D$513,'原始数据'!$A$2:$A$513,A173,'原始数据'!$B$2:$B$513,B173,'原始数据'!$C$2:$C$513,-10))</x:f>
        <x:v>0.5435206544663007</x:v>
      </x:c>
      <x:c r="D173" s="29" t="n">
        <x:f>'权重'!$B$2*SUMIFS('原始数据'!$D$2:$D$513,'原始数据'!$A$2:$A$513,A173,'原始数据'!$B$2:$B$513,B173,'原始数据'!$C$2:$C$513,0)+'权重'!$B$3*SUMIFS('原始数据'!$D$2:$D$513,'原始数据'!$A$2:$A$513,A173,'原始数据'!$B$2:$B$513,B173,'原始数据'!$C$2:$C$513,-10)</x:f>
        <x:v>12.62071529389221</x:v>
      </x:c>
    </x:row>
    <x:row r="174">
      <x:c r="A174" s="28" t="n">
        <x:v>30</x:v>
      </x:c>
      <x:c r="B174" s="28" t="n">
        <x:v>34</x:v>
      </x:c>
      <x:c r="C174" s="29" t="n">
        <x:f>ABS(SUMIFS('原始数据'!$D$2:$D$513,'原始数据'!$A$2:$A$513,A174,'原始数据'!$B$2:$B$513,B174,'原始数据'!$C$2:$C$513,0)-SUMIFS('原始数据'!$D$2:$D$513,'原始数据'!$A$2:$A$513,A174,'原始数据'!$B$2:$B$513,B174,'原始数据'!$C$2:$C$513,-10))</x:f>
        <x:v>0.7337196296659005</x:v>
      </x:c>
      <x:c r="D174" s="29" t="n">
        <x:f>'权重'!$B$2*SUMIFS('原始数据'!$D$2:$D$513,'原始数据'!$A$2:$A$513,A174,'原始数据'!$B$2:$B$513,B174,'原始数据'!$C$2:$C$513,0)+'权重'!$B$3*SUMIFS('原始数据'!$D$2:$D$513,'原始数据'!$A$2:$A$513,A174,'原始数据'!$B$2:$B$513,B174,'原始数据'!$C$2:$C$513,-10)</x:f>
        <x:v>12.56437504793113</x:v>
      </x:c>
    </x:row>
    <x:row r="175">
      <x:c r="A175" s="28" t="n">
        <x:v>30</x:v>
      </x:c>
      <x:c r="B175" s="28" t="n">
        <x:v>36</x:v>
      </x:c>
      <x:c r="C175" s="29" t="n">
        <x:f>ABS(SUMIFS('原始数据'!$D$2:$D$513,'原始数据'!$A$2:$A$513,A175,'原始数据'!$B$2:$B$513,B175,'原始数据'!$C$2:$C$513,0)-SUMIFS('原始数据'!$D$2:$D$513,'原始数据'!$A$2:$A$513,A175,'原始数据'!$B$2:$B$513,B175,'原始数据'!$C$2:$C$513,-10))</x:f>
        <x:v>0.5029365333606002</x:v>
      </x:c>
      <x:c r="D175" s="29" t="n">
        <x:f>'权重'!$B$2*SUMIFS('原始数据'!$D$2:$D$513,'原始数据'!$A$2:$A$513,A175,'原始数据'!$B$2:$B$513,B175,'原始数据'!$C$2:$C$513,0)+'权重'!$B$3*SUMIFS('原始数据'!$D$2:$D$513,'原始数据'!$A$2:$A$513,A175,'原始数据'!$B$2:$B$513,B175,'原始数据'!$C$2:$C$513,-10)</x:f>
        <x:v>12.539408628879517</x:v>
      </x:c>
    </x:row>
    <x:row r="176">
      <x:c r="A176" s="28" t="n">
        <x:v>30</x:v>
      </x:c>
      <x:c r="B176" s="28" t="n">
        <x:v>38</x:v>
      </x:c>
      <x:c r="C176" s="29" t="n">
        <x:f>ABS(SUMIFS('原始数据'!$D$2:$D$513,'原始数据'!$A$2:$A$513,A176,'原始数据'!$B$2:$B$513,B176,'原始数据'!$C$2:$C$513,0)-SUMIFS('原始数据'!$D$2:$D$513,'原始数据'!$A$2:$A$513,A176,'原始数据'!$B$2:$B$513,B176,'原始数据'!$C$2:$C$513,-10))</x:f>
        <x:v>0.26707272243950086</x:v>
      </x:c>
      <x:c r="D176" s="29" t="n">
        <x:f>'权重'!$B$2*SUMIFS('原始数据'!$D$2:$D$513,'原始数据'!$A$2:$A$513,A176,'原始数据'!$B$2:$B$513,B176,'原始数据'!$C$2:$C$513,0)+'权重'!$B$3*SUMIFS('原始数据'!$D$2:$D$513,'原始数据'!$A$2:$A$513,A176,'原始数据'!$B$2:$B$513,B176,'原始数据'!$C$2:$C$513,-10)</x:f>
        <x:v>12.75696579550465</x:v>
      </x:c>
    </x:row>
    <x:row r="177">
      <x:c r="A177" s="28" t="n">
        <x:v>30</x:v>
      </x:c>
      <x:c r="B177" s="28" t="n">
        <x:v>40</x:v>
      </x:c>
      <x:c r="C177" s="29" t="n">
        <x:f>ABS(SUMIFS('原始数据'!$D$2:$D$513,'原始数据'!$A$2:$A$513,A177,'原始数据'!$B$2:$B$513,B177,'原始数据'!$C$2:$C$513,0)-SUMIFS('原始数据'!$D$2:$D$513,'原始数据'!$A$2:$A$513,A177,'原始数据'!$B$2:$B$513,B177,'原始数据'!$C$2:$C$513,-10))</x:f>
        <x:v>0.9866390528069005</x:v>
      </x:c>
      <x:c r="D177" s="29" t="n">
        <x:f>'权重'!$B$2*SUMIFS('原始数据'!$D$2:$D$513,'原始数据'!$A$2:$A$513,A177,'原始数据'!$B$2:$B$513,B177,'原始数据'!$C$2:$C$513,0)+'权重'!$B$3*SUMIFS('原始数据'!$D$2:$D$513,'原始数据'!$A$2:$A$513,A177,'原始数据'!$B$2:$B$513,B177,'原始数据'!$C$2:$C$513,-10)</x:f>
        <x:v>13.006396769688571</x:v>
      </x:c>
    </x:row>
    <x:row r="178">
      <x:c r="A178" s="28" t="n">
        <x:v>32</x:v>
      </x:c>
      <x:c r="B178" s="28" t="n">
        <x:v>10</x:v>
      </x:c>
      <x:c r="C178" s="29" t="n">
        <x:f>ABS(SUMIFS('原始数据'!$D$2:$D$513,'原始数据'!$A$2:$A$513,A178,'原始数据'!$B$2:$B$513,B178,'原始数据'!$C$2:$C$513,0)-SUMIFS('原始数据'!$D$2:$D$513,'原始数据'!$A$2:$A$513,A178,'原始数据'!$B$2:$B$513,B178,'原始数据'!$C$2:$C$513,-10))</x:f>
        <x:v>13.44966616981132</x:v>
      </x:c>
      <x:c r="D178" s="29" t="n">
        <x:f>'权重'!$B$2*SUMIFS('原始数据'!$D$2:$D$513,'原始数据'!$A$2:$A$513,A178,'原始数据'!$B$2:$B$513,B178,'原始数据'!$C$2:$C$513,0)+'权重'!$B$3*SUMIFS('原始数据'!$D$2:$D$513,'原始数据'!$A$2:$A$513,A178,'原始数据'!$B$2:$B$513,B178,'原始数据'!$C$2:$C$513,-10)</x:f>
        <x:v>5.068329680223176</x:v>
      </x:c>
    </x:row>
    <x:row r="179">
      <x:c r="A179" s="28" t="n">
        <x:v>32</x:v>
      </x:c>
      <x:c r="B179" s="28" t="n">
        <x:v>12</x:v>
      </x:c>
      <x:c r="C179" s="29" t="n">
        <x:f>ABS(SUMIFS('原始数据'!$D$2:$D$513,'原始数据'!$A$2:$A$513,A179,'原始数据'!$B$2:$B$513,B179,'原始数据'!$C$2:$C$513,0)-SUMIFS('原始数据'!$D$2:$D$513,'原始数据'!$A$2:$A$513,A179,'原始数据'!$B$2:$B$513,B179,'原始数据'!$C$2:$C$513,-10))</x:f>
        <x:v>11.803661804356299</x:v>
      </x:c>
      <x:c r="D179" s="29" t="n">
        <x:f>'权重'!$B$2*SUMIFS('原始数据'!$D$2:$D$513,'原始数据'!$A$2:$A$513,A179,'原始数据'!$B$2:$B$513,B179,'原始数据'!$C$2:$C$513,0)+'权重'!$B$3*SUMIFS('原始数据'!$D$2:$D$513,'原始数据'!$A$2:$A$513,A179,'原始数据'!$B$2:$B$513,B179,'原始数据'!$C$2:$C$513,-10)</x:f>
        <x:v>5.637482387318389</x:v>
      </x:c>
    </x:row>
    <x:row r="180">
      <x:c r="A180" s="28" t="n">
        <x:v>32</x:v>
      </x:c>
      <x:c r="B180" s="28" t="n">
        <x:v>14</x:v>
      </x:c>
      <x:c r="C180" s="29" t="n">
        <x:f>ABS(SUMIFS('原始数据'!$D$2:$D$513,'原始数据'!$A$2:$A$513,A180,'原始数据'!$B$2:$B$513,B180,'原始数据'!$C$2:$C$513,0)-SUMIFS('原始数据'!$D$2:$D$513,'原始数据'!$A$2:$A$513,A180,'原始数据'!$B$2:$B$513,B180,'原始数据'!$C$2:$C$513,-10))</x:f>
        <x:v>8.27358449396677</x:v>
      </x:c>
      <x:c r="D180" s="29" t="n">
        <x:f>'权重'!$B$2*SUMIFS('原始数据'!$D$2:$D$513,'原始数据'!$A$2:$A$513,A180,'原始数据'!$B$2:$B$513,B180,'原始数据'!$C$2:$C$513,0)+'权重'!$B$3*SUMIFS('原始数据'!$D$2:$D$513,'原始数据'!$A$2:$A$513,A180,'原始数据'!$B$2:$B$513,B180,'原始数据'!$C$2:$C$513,-10)</x:f>
        <x:v>7.521609829297761</x:v>
      </x:c>
    </x:row>
    <x:row r="181">
      <x:c r="A181" s="28" t="n">
        <x:v>32</x:v>
      </x:c>
      <x:c r="B181" s="28" t="n">
        <x:v>16</x:v>
      </x:c>
      <x:c r="C181" s="29" t="n">
        <x:f>ABS(SUMIFS('原始数据'!$D$2:$D$513,'原始数据'!$A$2:$A$513,A181,'原始数据'!$B$2:$B$513,B181,'原始数据'!$C$2:$C$513,0)-SUMIFS('原始数据'!$D$2:$D$513,'原始数据'!$A$2:$A$513,A181,'原始数据'!$B$2:$B$513,B181,'原始数据'!$C$2:$C$513,-10))</x:f>
        <x:v>0.7221795702909013</x:v>
      </x:c>
      <x:c r="D181" s="29" t="n">
        <x:f>'权重'!$B$2*SUMIFS('原始数据'!$D$2:$D$513,'原始数据'!$A$2:$A$513,A181,'原始数据'!$B$2:$B$513,B181,'原始数据'!$C$2:$C$513,0)+'权重'!$B$3*SUMIFS('原始数据'!$D$2:$D$513,'原始数据'!$A$2:$A$513,A181,'原始数据'!$B$2:$B$513,B181,'原始数据'!$C$2:$C$513,-10)</x:f>
        <x:v>12.07588634450547</x:v>
      </x:c>
    </x:row>
    <x:row r="182">
      <x:c r="A182" s="28" t="n">
        <x:v>32</x:v>
      </x:c>
      <x:c r="B182" s="28" t="n">
        <x:v>18</x:v>
      </x:c>
      <x:c r="C182" s="29" t="n">
        <x:f>ABS(SUMIFS('原始数据'!$D$2:$D$513,'原始数据'!$A$2:$A$513,A182,'原始数据'!$B$2:$B$513,B182,'原始数据'!$C$2:$C$513,0)-SUMIFS('原始数据'!$D$2:$D$513,'原始数据'!$A$2:$A$513,A182,'原始数据'!$B$2:$B$513,B182,'原始数据'!$C$2:$C$513,-10))</x:f>
        <x:v>2.9261158541157</x:v>
      </x:c>
      <x:c r="D182" s="29" t="n">
        <x:f>'权重'!$B$2*SUMIFS('原始数据'!$D$2:$D$513,'原始数据'!$A$2:$A$513,A182,'原始数据'!$B$2:$B$513,B182,'原始数据'!$C$2:$C$513,0)+'权重'!$B$3*SUMIFS('原始数据'!$D$2:$D$513,'原始数据'!$A$2:$A$513,A182,'原始数据'!$B$2:$B$513,B182,'原始数据'!$C$2:$C$513,-10)</x:f>
        <x:v>13.74870507637419</x:v>
      </x:c>
    </x:row>
    <x:row r="183">
      <x:c r="A183" s="28" t="n">
        <x:v>32</x:v>
      </x:c>
      <x:c r="B183" s="28" t="n">
        <x:v>20</x:v>
      </x:c>
      <x:c r="C183" s="29" t="n">
        <x:f>ABS(SUMIFS('原始数据'!$D$2:$D$513,'原始数据'!$A$2:$A$513,A183,'原始数据'!$B$2:$B$513,B183,'原始数据'!$C$2:$C$513,0)-SUMIFS('原始数据'!$D$2:$D$513,'原始数据'!$A$2:$A$513,A183,'原始数据'!$B$2:$B$513,B183,'原始数据'!$C$2:$C$513,-10))</x:f>
        <x:v>3.5281822627531003</x:v>
      </x:c>
      <x:c r="D183" s="29" t="n">
        <x:f>'权重'!$B$2*SUMIFS('原始数据'!$D$2:$D$513,'原始数据'!$A$2:$A$513,A183,'原始数据'!$B$2:$B$513,B183,'原始数据'!$C$2:$C$513,0)+'权重'!$B$3*SUMIFS('原始数据'!$D$2:$D$513,'原始数据'!$A$2:$A$513,A183,'原始数据'!$B$2:$B$513,B183,'原始数据'!$C$2:$C$513,-10)</x:f>
        <x:v>13.130338755699368</x:v>
      </x:c>
    </x:row>
    <x:row r="184">
      <x:c r="A184" s="28" t="n">
        <x:v>32</x:v>
      </x:c>
      <x:c r="B184" s="28" t="n">
        <x:v>22</x:v>
      </x:c>
      <x:c r="C184" s="29" t="n">
        <x:f>ABS(SUMIFS('原始数据'!$D$2:$D$513,'原始数据'!$A$2:$A$513,A184,'原始数据'!$B$2:$B$513,B184,'原始数据'!$C$2:$C$513,0)-SUMIFS('原始数据'!$D$2:$D$513,'原始数据'!$A$2:$A$513,A184,'原始数据'!$B$2:$B$513,B184,'原始数据'!$C$2:$C$513,-10))</x:f>
        <x:v>3.9538511668811402</x:v>
      </x:c>
      <x:c r="D184" s="29" t="n">
        <x:f>'权重'!$B$2*SUMIFS('原始数据'!$D$2:$D$513,'原始数据'!$A$2:$A$513,A184,'原始数据'!$B$2:$B$513,B184,'原始数据'!$C$2:$C$513,0)+'权重'!$B$3*SUMIFS('原始数据'!$D$2:$D$513,'原始数据'!$A$2:$A$513,A184,'原始数据'!$B$2:$B$513,B184,'原始数据'!$C$2:$C$513,-10)</x:f>
        <x:v>12.391705159841656</x:v>
      </x:c>
    </x:row>
    <x:row r="185">
      <x:c r="A185" s="28" t="n">
        <x:v>32</x:v>
      </x:c>
      <x:c r="B185" s="28" t="n">
        <x:v>24</x:v>
      </x:c>
      <x:c r="C185" s="29" t="n">
        <x:f>ABS(SUMIFS('原始数据'!$D$2:$D$513,'原始数据'!$A$2:$A$513,A185,'原始数据'!$B$2:$B$513,B185,'原始数据'!$C$2:$C$513,0)-SUMIFS('原始数据'!$D$2:$D$513,'原始数据'!$A$2:$A$513,A185,'原始数据'!$B$2:$B$513,B185,'原始数据'!$C$2:$C$513,-10))</x:f>
        <x:v>3.997018149510639</x:v>
      </x:c>
      <x:c r="D185" s="29" t="n">
        <x:f>'权重'!$B$2*SUMIFS('原始数据'!$D$2:$D$513,'原始数据'!$A$2:$A$513,A185,'原始数据'!$B$2:$B$513,B185,'原始数据'!$C$2:$C$513,0)+'权重'!$B$3*SUMIFS('原始数据'!$D$2:$D$513,'原始数据'!$A$2:$A$513,A185,'原始数据'!$B$2:$B$513,B185,'原始数据'!$C$2:$C$513,-10)</x:f>
        <x:v>12.016615526159308</x:v>
      </x:c>
    </x:row>
    <x:row r="186">
      <x:c r="A186" s="28" t="n">
        <x:v>32</x:v>
      </x:c>
      <x:c r="B186" s="28" t="n">
        <x:v>26</x:v>
      </x:c>
      <x:c r="C186" s="29" t="n">
        <x:f>ABS(SUMIFS('原始数据'!$D$2:$D$513,'原始数据'!$A$2:$A$513,A186,'原始数据'!$B$2:$B$513,B186,'原始数据'!$C$2:$C$513,0)-SUMIFS('原始数据'!$D$2:$D$513,'原始数据'!$A$2:$A$513,A186,'原始数据'!$B$2:$B$513,B186,'原始数据'!$C$2:$C$513,-10))</x:f>
        <x:v>0.4072510816588988</x:v>
      </x:c>
      <x:c r="D186" s="29" t="n">
        <x:f>'权重'!$B$2*SUMIFS('原始数据'!$D$2:$D$513,'原始数据'!$A$2:$A$513,A186,'原始数据'!$B$2:$B$513,B186,'原始数据'!$C$2:$C$513,0)+'权重'!$B$3*SUMIFS('原始数据'!$D$2:$D$513,'原始数据'!$A$2:$A$513,A186,'原始数据'!$B$2:$B$513,B186,'原始数据'!$C$2:$C$513,-10)</x:f>
        <x:v>13.06679039532117</x:v>
      </x:c>
    </x:row>
    <x:row r="187">
      <x:c r="A187" s="28" t="n">
        <x:v>32</x:v>
      </x:c>
      <x:c r="B187" s="28" t="n">
        <x:v>28</x:v>
      </x:c>
      <x:c r="C187" s="29" t="n">
        <x:f>ABS(SUMIFS('原始数据'!$D$2:$D$513,'原始数据'!$A$2:$A$513,A187,'原始数据'!$B$2:$B$513,B187,'原始数据'!$C$2:$C$513,0)-SUMIFS('原始数据'!$D$2:$D$513,'原始数据'!$A$2:$A$513,A187,'原始数据'!$B$2:$B$513,B187,'原始数据'!$C$2:$C$513,-10))</x:f>
        <x:v>1.8797946436385988</x:v>
      </x:c>
      <x:c r="D187" s="29" t="n">
        <x:f>'权重'!$B$2*SUMIFS('原始数据'!$D$2:$D$513,'原始数据'!$A$2:$A$513,A187,'原始数据'!$B$2:$B$513,B187,'原始数据'!$C$2:$C$513,0)+'权重'!$B$3*SUMIFS('原始数据'!$D$2:$D$513,'原始数据'!$A$2:$A$513,A187,'原始数据'!$B$2:$B$513,B187,'原始数据'!$C$2:$C$513,-10)</x:f>
        <x:v>13.42114722029568</x:v>
      </x:c>
    </x:row>
    <x:row r="188">
      <x:c r="A188" s="28" t="n">
        <x:v>32</x:v>
      </x:c>
      <x:c r="B188" s="28" t="n">
        <x:v>30</x:v>
      </x:c>
      <x:c r="C188" s="29" t="n">
        <x:f>ABS(SUMIFS('原始数据'!$D$2:$D$513,'原始数据'!$A$2:$A$513,A188,'原始数据'!$B$2:$B$513,B188,'原始数据'!$C$2:$C$513,0)-SUMIFS('原始数据'!$D$2:$D$513,'原始数据'!$A$2:$A$513,A188,'原始数据'!$B$2:$B$513,B188,'原始数据'!$C$2:$C$513,-10))</x:f>
        <x:v>1.1530967944758999</x:v>
      </x:c>
      <x:c r="D188" s="29" t="n">
        <x:f>'权重'!$B$2*SUMIFS('原始数据'!$D$2:$D$513,'原始数据'!$A$2:$A$513,A188,'原始数据'!$B$2:$B$513,B188,'原始数据'!$C$2:$C$513,0)+'权重'!$B$3*SUMIFS('原始数据'!$D$2:$D$513,'原始数据'!$A$2:$A$513,A188,'原始数据'!$B$2:$B$513,B188,'原始数据'!$C$2:$C$513,-10)</x:f>
        <x:v>13.048639055411972</x:v>
      </x:c>
    </x:row>
    <x:row r="189">
      <x:c r="A189" s="28" t="n">
        <x:v>32</x:v>
      </x:c>
      <x:c r="B189" s="28" t="n">
        <x:v>32</x:v>
      </x:c>
      <x:c r="C189" s="29" t="n">
        <x:f>ABS(SUMIFS('原始数据'!$D$2:$D$513,'原始数据'!$A$2:$A$513,A189,'原始数据'!$B$2:$B$513,B189,'原始数据'!$C$2:$C$513,0)-SUMIFS('原始数据'!$D$2:$D$513,'原始数据'!$A$2:$A$513,A189,'原始数据'!$B$2:$B$513,B189,'原始数据'!$C$2:$C$513,-10))</x:f>
        <x:v>0.48766433052970015</x:v>
      </x:c>
      <x:c r="D189" s="29" t="n">
        <x:f>'权重'!$B$2*SUMIFS('原始数据'!$D$2:$D$513,'原始数据'!$A$2:$A$513,A189,'原始数据'!$B$2:$B$513,B189,'原始数据'!$C$2:$C$513,0)+'权重'!$B$3*SUMIFS('原始数据'!$D$2:$D$513,'原始数据'!$A$2:$A$513,A189,'原始数据'!$B$2:$B$513,B189,'原始数据'!$C$2:$C$513,-10)</x:f>
        <x:v>12.82445795884011</x:v>
      </x:c>
    </x:row>
    <x:row r="190">
      <x:c r="A190" s="28" t="n">
        <x:v>32</x:v>
      </x:c>
      <x:c r="B190" s="28" t="n">
        <x:v>34</x:v>
      </x:c>
      <x:c r="C190" s="29" t="n">
        <x:f>ABS(SUMIFS('原始数据'!$D$2:$D$513,'原始数据'!$A$2:$A$513,A190,'原始数据'!$B$2:$B$513,B190,'原始数据'!$C$2:$C$513,0)-SUMIFS('原始数据'!$D$2:$D$513,'原始数据'!$A$2:$A$513,A190,'原始数据'!$B$2:$B$513,B190,'原始数据'!$C$2:$C$513,-10))</x:f>
        <x:v>0.18608846344999996</x:v>
      </x:c>
      <x:c r="D190" s="29" t="n">
        <x:f>'权重'!$B$2*SUMIFS('原始数据'!$D$2:$D$513,'原始数据'!$A$2:$A$513,A190,'原始数据'!$B$2:$B$513,B190,'原始数据'!$C$2:$C$513,0)+'权重'!$B$3*SUMIFS('原始数据'!$D$2:$D$513,'原始数据'!$A$2:$A$513,A190,'原始数据'!$B$2:$B$513,B190,'原始数据'!$C$2:$C$513,-10)</x:f>
        <x:v>12.718640186170699</x:v>
      </x:c>
    </x:row>
    <x:row r="191">
      <x:c r="A191" s="28" t="n">
        <x:v>32</x:v>
      </x:c>
      <x:c r="B191" s="28" t="n">
        <x:v>36</x:v>
      </x:c>
      <x:c r="C191" s="29" t="n">
        <x:f>ABS(SUMIFS('原始数据'!$D$2:$D$513,'原始数据'!$A$2:$A$513,A191,'原始数据'!$B$2:$B$513,B191,'原始数据'!$C$2:$C$513,0)-SUMIFS('原始数据'!$D$2:$D$513,'原始数据'!$A$2:$A$513,A191,'原始数据'!$B$2:$B$513,B191,'原始数据'!$C$2:$C$513,-10))</x:f>
        <x:v>0.10506547768559926</x:v>
      </x:c>
      <x:c r="D191" s="29" t="n">
        <x:f>'权重'!$B$2*SUMIFS('原始数据'!$D$2:$D$513,'原始数据'!$A$2:$A$513,A191,'原始数据'!$B$2:$B$513,B191,'原始数据'!$C$2:$C$513,0)+'权重'!$B$3*SUMIFS('原始数据'!$D$2:$D$513,'原始数据'!$A$2:$A$513,A191,'原始数据'!$B$2:$B$513,B191,'原始数据'!$C$2:$C$513,-10)</x:f>
        <x:v>12.655427500430179</x:v>
      </x:c>
    </x:row>
    <x:row r="192">
      <x:c r="A192" s="28" t="n">
        <x:v>32</x:v>
      </x:c>
      <x:c r="B192" s="28" t="n">
        <x:v>38</x:v>
      </x:c>
      <x:c r="C192" s="29" t="n">
        <x:f>ABS(SUMIFS('原始数据'!$D$2:$D$513,'原始数据'!$A$2:$A$513,A192,'原始数据'!$B$2:$B$513,B192,'原始数据'!$C$2:$C$513,0)-SUMIFS('原始数据'!$D$2:$D$513,'原始数据'!$A$2:$A$513,A192,'原始数据'!$B$2:$B$513,B192,'原始数据'!$C$2:$C$513,-10))</x:f>
        <x:v>0.43203521902090003</x:v>
      </x:c>
      <x:c r="D192" s="29" t="n">
        <x:f>'权重'!$B$2*SUMIFS('原始数据'!$D$2:$D$513,'原始数据'!$A$2:$A$513,A192,'原始数据'!$B$2:$B$513,B192,'原始数据'!$C$2:$C$513,0)+'权重'!$B$3*SUMIFS('原始数据'!$D$2:$D$513,'原始数据'!$A$2:$A$513,A192,'原始数据'!$B$2:$B$513,B192,'原始数据'!$C$2:$C$513,-10)</x:f>
        <x:v>12.783977370605768</x:v>
      </x:c>
    </x:row>
    <x:row r="193">
      <x:c r="A193" s="28" t="n">
        <x:v>32</x:v>
      </x:c>
      <x:c r="B193" s="28" t="n">
        <x:v>40</x:v>
      </x:c>
      <x:c r="C193" s="29" t="n">
        <x:f>ABS(SUMIFS('原始数据'!$D$2:$D$513,'原始数据'!$A$2:$A$513,A193,'原始数据'!$B$2:$B$513,B193,'原始数据'!$C$2:$C$513,0)-SUMIFS('原始数据'!$D$2:$D$513,'原始数据'!$A$2:$A$513,A193,'原始数据'!$B$2:$B$513,B193,'原始数据'!$C$2:$C$513,-10))</x:f>
        <x:v>1.2519529926952</x:v>
      </x:c>
      <x:c r="D193" s="29" t="n">
        <x:f>'权重'!$B$2*SUMIFS('原始数据'!$D$2:$D$513,'原始数据'!$A$2:$A$513,A193,'原始数据'!$B$2:$B$513,B193,'原始数据'!$C$2:$C$513,0)+'权重'!$B$3*SUMIFS('原始数据'!$D$2:$D$513,'原始数据'!$A$2:$A$513,A193,'原始数据'!$B$2:$B$513,B193,'原始数据'!$C$2:$C$513,-10)</x:f>
        <x:v>13.08305844246086</x:v>
      </x:c>
    </x:row>
    <x:row r="194">
      <x:c r="A194" s="28" t="n">
        <x:v>34</x:v>
      </x:c>
      <x:c r="B194" s="28" t="n">
        <x:v>10</x:v>
      </x:c>
      <x:c r="C194" s="29" t="n">
        <x:f>ABS(SUMIFS('原始数据'!$D$2:$D$513,'原始数据'!$A$2:$A$513,A194,'原始数据'!$B$2:$B$513,B194,'原始数据'!$C$2:$C$513,0)-SUMIFS('原始数据'!$D$2:$D$513,'原始数据'!$A$2:$A$513,A194,'原始数据'!$B$2:$B$513,B194,'原始数据'!$C$2:$C$513,-10))</x:f>
        <x:v>12.88135887628534</x:v>
      </x:c>
      <x:c r="D194" s="29" t="n">
        <x:f>'权重'!$B$2*SUMIFS('原始数据'!$D$2:$D$513,'原始数据'!$A$2:$A$513,A194,'原始数据'!$B$2:$B$513,B194,'原始数据'!$C$2:$C$513,0)+'权重'!$B$3*SUMIFS('原始数据'!$D$2:$D$513,'原始数据'!$A$2:$A$513,A194,'原始数据'!$B$2:$B$513,B194,'原始数据'!$C$2:$C$513,-10)</x:f>
        <x:v>4.561310813093163</x:v>
      </x:c>
    </x:row>
    <x:row r="195">
      <x:c r="A195" s="28" t="n">
        <x:v>34</x:v>
      </x:c>
      <x:c r="B195" s="28" t="n">
        <x:v>12</x:v>
      </x:c>
      <x:c r="C195" s="29" t="n">
        <x:f>ABS(SUMIFS('原始数据'!$D$2:$D$513,'原始数据'!$A$2:$A$513,A195,'原始数据'!$B$2:$B$513,B195,'原始数据'!$C$2:$C$513,0)-SUMIFS('原始数据'!$D$2:$D$513,'原始数据'!$A$2:$A$513,A195,'原始数据'!$B$2:$B$513,B195,'原始数据'!$C$2:$C$513,-10))</x:f>
        <x:v>11.70781413766642</x:v>
      </x:c>
      <x:c r="D195" s="29" t="n">
        <x:f>'权重'!$B$2*SUMIFS('原始数据'!$D$2:$D$513,'原始数据'!$A$2:$A$513,A195,'原始数据'!$B$2:$B$513,B195,'原始数据'!$C$2:$C$513,0)+'权重'!$B$3*SUMIFS('原始数据'!$D$2:$D$513,'原始数据'!$A$2:$A$513,A195,'原始数据'!$B$2:$B$513,B195,'原始数据'!$C$2:$C$513,-10)</x:f>
        <x:v>4.997438501529506</x:v>
      </x:c>
    </x:row>
    <x:row r="196">
      <x:c r="A196" s="28" t="n">
        <x:v>34</x:v>
      </x:c>
      <x:c r="B196" s="28" t="n">
        <x:v>14</x:v>
      </x:c>
      <x:c r="C196" s="29" t="n">
        <x:f>ABS(SUMIFS('原始数据'!$D$2:$D$513,'原始数据'!$A$2:$A$513,A196,'原始数据'!$B$2:$B$513,B196,'原始数据'!$C$2:$C$513,0)-SUMIFS('原始数据'!$D$2:$D$513,'原始数据'!$A$2:$A$513,A196,'原始数据'!$B$2:$B$513,B196,'原始数据'!$C$2:$C$513,-10))</x:f>
        <x:v>9.67670904822944</x:v>
      </x:c>
      <x:c r="D196" s="29" t="n">
        <x:f>'权重'!$B$2*SUMIFS('原始数据'!$D$2:$D$513,'原始数据'!$A$2:$A$513,A196,'原始数据'!$B$2:$B$513,B196,'原始数据'!$C$2:$C$513,0)+'权重'!$B$3*SUMIFS('原始数据'!$D$2:$D$513,'原始数据'!$A$2:$A$513,A196,'原始数据'!$B$2:$B$513,B196,'原始数据'!$C$2:$C$513,-10)</x:f>
        <x:v>6.0617489797337925</x:v>
      </x:c>
    </x:row>
    <x:row r="197">
      <x:c r="A197" s="28" t="n">
        <x:v>34</x:v>
      </x:c>
      <x:c r="B197" s="28" t="n">
        <x:v>16</x:v>
      </x:c>
      <x:c r="C197" s="29" t="n">
        <x:f>ABS(SUMIFS('原始数据'!$D$2:$D$513,'原始数据'!$A$2:$A$513,A197,'原始数据'!$B$2:$B$513,B197,'原始数据'!$C$2:$C$513,0)-SUMIFS('原始数据'!$D$2:$D$513,'原始数据'!$A$2:$A$513,A197,'原始数据'!$B$2:$B$513,B197,'原始数据'!$C$2:$C$513,-10))</x:f>
        <x:v>4.062472748860751</x:v>
      </x:c>
      <x:c r="D197" s="29" t="n">
        <x:f>'权重'!$B$2*SUMIFS('原始数据'!$D$2:$D$513,'原始数据'!$A$2:$A$513,A197,'原始数据'!$B$2:$B$513,B197,'原始数据'!$C$2:$C$513,0)+'权重'!$B$3*SUMIFS('原始数据'!$D$2:$D$513,'原始数据'!$A$2:$A$513,A197,'原始数据'!$B$2:$B$513,B197,'原始数据'!$C$2:$C$513,-10)</x:f>
        <x:v>9.429952568347975</x:v>
      </x:c>
    </x:row>
    <x:row r="198">
      <x:c r="A198" s="28" t="n">
        <x:v>34</x:v>
      </x:c>
      <x:c r="B198" s="28" t="n">
        <x:v>18</x:v>
      </x:c>
      <x:c r="C198" s="29" t="n">
        <x:f>ABS(SUMIFS('原始数据'!$D$2:$D$513,'原始数据'!$A$2:$A$513,A198,'原始数据'!$B$2:$B$513,B198,'原始数据'!$C$2:$C$513,0)-SUMIFS('原始数据'!$D$2:$D$513,'原始数据'!$A$2:$A$513,A198,'原始数据'!$B$2:$B$513,B198,'原始数据'!$C$2:$C$513,-10))</x:f>
        <x:v>2.4231990466657987</x:v>
      </x:c>
      <x:c r="D198" s="29" t="n">
        <x:f>'权重'!$B$2*SUMIFS('原始数据'!$D$2:$D$513,'原始数据'!$A$2:$A$513,A198,'原始数据'!$B$2:$B$513,B198,'原始数据'!$C$2:$C$513,0)+'权重'!$B$3*SUMIFS('原始数据'!$D$2:$D$513,'原始数据'!$A$2:$A$513,A198,'原始数据'!$B$2:$B$513,B198,'原始数据'!$C$2:$C$513,-10)</x:f>
        <x:v>13.306324221478059</x:v>
      </x:c>
    </x:row>
    <x:row r="199">
      <x:c r="A199" s="28" t="n">
        <x:v>34</x:v>
      </x:c>
      <x:c r="B199" s="28" t="n">
        <x:v>20</x:v>
      </x:c>
      <x:c r="C199" s="29" t="n">
        <x:f>ABS(SUMIFS('原始数据'!$D$2:$D$513,'原始数据'!$A$2:$A$513,A199,'原始数据'!$B$2:$B$513,B199,'原始数据'!$C$2:$C$513,0)-SUMIFS('原始数据'!$D$2:$D$513,'原始数据'!$A$2:$A$513,A199,'原始数据'!$B$2:$B$513,B199,'原始数据'!$C$2:$C$513,-10))</x:f>
        <x:v>3.690998033470901</x:v>
      </x:c>
      <x:c r="D199" s="29" t="n">
        <x:f>'权重'!$B$2*SUMIFS('原始数据'!$D$2:$D$513,'原始数据'!$A$2:$A$513,A199,'原始数据'!$B$2:$B$513,B199,'原始数据'!$C$2:$C$513,0)+'权重'!$B$3*SUMIFS('原始数据'!$D$2:$D$513,'原始数据'!$A$2:$A$513,A199,'原始数据'!$B$2:$B$513,B199,'原始数据'!$C$2:$C$513,-10)</x:f>
        <x:v>13.468698046965029</x:v>
      </x:c>
    </x:row>
    <x:row r="200">
      <x:c r="A200" s="28" t="n">
        <x:v>34</x:v>
      </x:c>
      <x:c r="B200" s="28" t="n">
        <x:v>22</x:v>
      </x:c>
      <x:c r="C200" s="29" t="n">
        <x:f>ABS(SUMIFS('原始数据'!$D$2:$D$513,'原始数据'!$A$2:$A$513,A200,'原始数据'!$B$2:$B$513,B200,'原始数据'!$C$2:$C$513,0)-SUMIFS('原始数据'!$D$2:$D$513,'原始数据'!$A$2:$A$513,A200,'原始数据'!$B$2:$B$513,B200,'原始数据'!$C$2:$C$513,-10))</x:f>
        <x:v>3.8459679384372993</x:v>
      </x:c>
      <x:c r="D200" s="29" t="n">
        <x:f>'权重'!$B$2*SUMIFS('原始数据'!$D$2:$D$513,'原始数据'!$A$2:$A$513,A200,'原始数据'!$B$2:$B$513,B200,'原始数据'!$C$2:$C$513,0)+'权重'!$B$3*SUMIFS('原始数据'!$D$2:$D$513,'原始数据'!$A$2:$A$513,A200,'原始数据'!$B$2:$B$513,B200,'原始数据'!$C$2:$C$513,-10)</x:f>
        <x:v>12.730321759043008</x:v>
      </x:c>
    </x:row>
    <x:row r="201">
      <x:c r="A201" s="28" t="n">
        <x:v>34</x:v>
      </x:c>
      <x:c r="B201" s="28" t="n">
        <x:v>24</x:v>
      </x:c>
      <x:c r="C201" s="29" t="n">
        <x:f>ABS(SUMIFS('原始数据'!$D$2:$D$513,'原始数据'!$A$2:$A$513,A201,'原始数据'!$B$2:$B$513,B201,'原始数据'!$C$2:$C$513,0)-SUMIFS('原始数据'!$D$2:$D$513,'原始数据'!$A$2:$A$513,A201,'原始数据'!$B$2:$B$513,B201,'原始数据'!$C$2:$C$513,-10))</x:f>
        <x:v>4.03125199405361</x:v>
      </x:c>
      <x:c r="D201" s="29" t="n">
        <x:f>'权重'!$B$2*SUMIFS('原始数据'!$D$2:$D$513,'原始数据'!$A$2:$A$513,A201,'原始数据'!$B$2:$B$513,B201,'原始数据'!$C$2:$C$513,0)+'权重'!$B$3*SUMIFS('原始数据'!$D$2:$D$513,'原始数据'!$A$2:$A$513,A201,'原始数据'!$B$2:$B$513,B201,'原始数据'!$C$2:$C$513,-10)</x:f>
        <x:v>12.066926576482718</x:v>
      </x:c>
    </x:row>
    <x:row r="202">
      <x:c r="A202" s="28" t="n">
        <x:v>34</x:v>
      </x:c>
      <x:c r="B202" s="28" t="n">
        <x:v>26</x:v>
      </x:c>
      <x:c r="C202" s="29" t="n">
        <x:f>ABS(SUMIFS('原始数据'!$D$2:$D$513,'原始数据'!$A$2:$A$513,A202,'原始数据'!$B$2:$B$513,B202,'原始数据'!$C$2:$C$513,0)-SUMIFS('原始数据'!$D$2:$D$513,'原始数据'!$A$2:$A$513,A202,'原始数据'!$B$2:$B$513,B202,'原始数据'!$C$2:$C$513,-10))</x:f>
        <x:v>2.2466052212866003</x:v>
      </x:c>
      <x:c r="D202" s="29" t="n">
        <x:f>'权重'!$B$2*SUMIFS('原始数据'!$D$2:$D$513,'原始数据'!$A$2:$A$513,A202,'原始数据'!$B$2:$B$513,B202,'原始数据'!$C$2:$C$513,0)+'权重'!$B$3*SUMIFS('原始数据'!$D$2:$D$513,'原始数据'!$A$2:$A$513,A202,'原始数据'!$B$2:$B$513,B202,'原始数据'!$C$2:$C$513,-10)</x:f>
        <x:v>12.36623088219462</x:v>
      </x:c>
    </x:row>
    <x:row r="203">
      <x:c r="A203" s="28" t="n">
        <x:v>34</x:v>
      </x:c>
      <x:c r="B203" s="28" t="n">
        <x:v>28</x:v>
      </x:c>
      <x:c r="C203" s="29" t="n">
        <x:f>ABS(SUMIFS('原始数据'!$D$2:$D$513,'原始数据'!$A$2:$A$513,A203,'原始数据'!$B$2:$B$513,B203,'原始数据'!$C$2:$C$513,0)-SUMIFS('原始数据'!$D$2:$D$513,'原始数据'!$A$2:$A$513,A203,'原始数据'!$B$2:$B$513,B203,'原始数据'!$C$2:$C$513,-10))</x:f>
        <x:v>2.4852455641657993</x:v>
      </x:c>
      <x:c r="D203" s="29" t="n">
        <x:f>'权重'!$B$2*SUMIFS('原始数据'!$D$2:$D$513,'原始数据'!$A$2:$A$513,A203,'原始数据'!$B$2:$B$513,B203,'原始数据'!$C$2:$C$513,0)+'权重'!$B$3*SUMIFS('原始数据'!$D$2:$D$513,'原始数据'!$A$2:$A$513,A203,'原始数据'!$B$2:$B$513,B203,'原始数据'!$C$2:$C$513,-10)</x:f>
        <x:v>13.60249972626944</x:v>
      </x:c>
    </x:row>
    <x:row r="204">
      <x:c r="A204" s="28" t="n">
        <x:v>34</x:v>
      </x:c>
      <x:c r="B204" s="28" t="n">
        <x:v>30</x:v>
      </x:c>
      <x:c r="C204" s="29" t="n">
        <x:f>ABS(SUMIFS('原始数据'!$D$2:$D$513,'原始数据'!$A$2:$A$513,A204,'原始数据'!$B$2:$B$513,B204,'原始数据'!$C$2:$C$513,0)-SUMIFS('原始数据'!$D$2:$D$513,'原始数据'!$A$2:$A$513,A204,'原始数据'!$B$2:$B$513,B204,'原始数据'!$C$2:$C$513,-10))</x:f>
        <x:v>2.1426201672648</x:v>
      </x:c>
      <x:c r="D204" s="29" t="n">
        <x:f>'权重'!$B$2*SUMIFS('原始数据'!$D$2:$D$513,'原始数据'!$A$2:$A$513,A204,'原始数据'!$B$2:$B$513,B204,'原始数据'!$C$2:$C$513,0)+'权重'!$B$3*SUMIFS('原始数据'!$D$2:$D$513,'原始数据'!$A$2:$A$513,A204,'原始数据'!$B$2:$B$513,B204,'原始数据'!$C$2:$C$513,-10)</x:f>
        <x:v>13.423942487939238</x:v>
      </x:c>
    </x:row>
    <x:row r="205">
      <x:c r="A205" s="28" t="n">
        <x:v>34</x:v>
      </x:c>
      <x:c r="B205" s="28" t="n">
        <x:v>32</x:v>
      </x:c>
      <x:c r="C205" s="29" t="n">
        <x:f>ABS(SUMIFS('原始数据'!$D$2:$D$513,'原始数据'!$A$2:$A$513,A205,'原始数据'!$B$2:$B$513,B205,'原始数据'!$C$2:$C$513,0)-SUMIFS('原始数据'!$D$2:$D$513,'原始数据'!$A$2:$A$513,A205,'原始数据'!$B$2:$B$513,B205,'原始数据'!$C$2:$C$513,-10))</x:f>
        <x:v>1.1744357869488997</x:v>
      </x:c>
      <x:c r="D205" s="29" t="n">
        <x:f>'权重'!$B$2*SUMIFS('原始数据'!$D$2:$D$513,'原始数据'!$A$2:$A$513,A205,'原始数据'!$B$2:$B$513,B205,'原始数据'!$C$2:$C$513,0)+'权重'!$B$3*SUMIFS('原始数据'!$D$2:$D$513,'原始数据'!$A$2:$A$513,A205,'原始数据'!$B$2:$B$513,B205,'原始数据'!$C$2:$C$513,-10)</x:f>
        <x:v>13.022177889984969</x:v>
      </x:c>
    </x:row>
    <x:row r="206">
      <x:c r="A206" s="28" t="n">
        <x:v>34</x:v>
      </x:c>
      <x:c r="B206" s="28" t="n">
        <x:v>34</x:v>
      </x:c>
      <x:c r="C206" s="29" t="n">
        <x:f>ABS(SUMIFS('原始数据'!$D$2:$D$513,'原始数据'!$A$2:$A$513,A206,'原始数据'!$B$2:$B$513,B206,'原始数据'!$C$2:$C$513,0)-SUMIFS('原始数据'!$D$2:$D$513,'原始数据'!$A$2:$A$513,A206,'原始数据'!$B$2:$B$513,B206,'原始数据'!$C$2:$C$513,-10))</x:f>
        <x:v>0.6690701362119995</x:v>
      </x:c>
      <x:c r="D206" s="29" t="n">
        <x:f>'权重'!$B$2*SUMIFS('原始数据'!$D$2:$D$513,'原始数据'!$A$2:$A$513,A206,'原始数据'!$B$2:$B$513,B206,'原始数据'!$C$2:$C$513,0)+'权重'!$B$3*SUMIFS('原始数据'!$D$2:$D$513,'原始数据'!$A$2:$A$513,A206,'原始数据'!$B$2:$B$513,B206,'原始数据'!$C$2:$C$513,-10)</x:f>
        <x:v>12.8486495524449</x:v>
      </x:c>
    </x:row>
    <x:row r="207">
      <x:c r="A207" s="28" t="n">
        <x:v>34</x:v>
      </x:c>
      <x:c r="B207" s="28" t="n">
        <x:v>36</x:v>
      </x:c>
      <x:c r="C207" s="29" t="n">
        <x:f>ABS(SUMIFS('原始数据'!$D$2:$D$513,'原始数据'!$A$2:$A$513,A207,'原始数据'!$B$2:$B$513,B207,'原始数据'!$C$2:$C$513,0)-SUMIFS('原始数据'!$D$2:$D$513,'原始数据'!$A$2:$A$513,A207,'原始数据'!$B$2:$B$513,B207,'原始数据'!$C$2:$C$513,-10))</x:f>
        <x:v>0.5917236442203002</x:v>
      </x:c>
      <x:c r="D207" s="29" t="n">
        <x:f>'权重'!$B$2*SUMIFS('原始数据'!$D$2:$D$513,'原始数据'!$A$2:$A$513,A207,'原始数据'!$B$2:$B$513,B207,'原始数据'!$C$2:$C$513,0)+'权重'!$B$3*SUMIFS('原始数据'!$D$2:$D$513,'原始数据'!$A$2:$A$513,A207,'原始数据'!$B$2:$B$513,B207,'原始数据'!$C$2:$C$513,-10)</x:f>
        <x:v>12.775118232822988</x:v>
      </x:c>
    </x:row>
    <x:row r="208">
      <x:c r="A208" s="28" t="n">
        <x:v>34</x:v>
      </x:c>
      <x:c r="B208" s="28" t="n">
        <x:v>38</x:v>
      </x:c>
      <x:c r="C208" s="29" t="n">
        <x:f>ABS(SUMIFS('原始数据'!$D$2:$D$513,'原始数据'!$A$2:$A$513,A208,'原始数据'!$B$2:$B$513,B208,'原始数据'!$C$2:$C$513,0)-SUMIFS('原始数据'!$D$2:$D$513,'原始数据'!$A$2:$A$513,A208,'原始数据'!$B$2:$B$513,B208,'原始数据'!$C$2:$C$513,-10))</x:f>
        <x:v>0.6421138072812003</x:v>
      </x:c>
      <x:c r="D208" s="29" t="n">
        <x:f>'权重'!$B$2*SUMIFS('原始数据'!$D$2:$D$513,'原始数据'!$A$2:$A$513,A208,'原始数据'!$B$2:$B$513,B208,'原始数据'!$C$2:$C$513,0)+'权重'!$B$3*SUMIFS('原始数据'!$D$2:$D$513,'原始数据'!$A$2:$A$513,A208,'原始数据'!$B$2:$B$513,B208,'原始数据'!$C$2:$C$513,-10)</x:f>
        <x:v>12.86889302072876</x:v>
      </x:c>
    </x:row>
    <x:row r="209">
      <x:c r="A209" s="28" t="n">
        <x:v>34</x:v>
      </x:c>
      <x:c r="B209" s="28" t="n">
        <x:v>40</x:v>
      </x:c>
      <x:c r="C209" s="29" t="n">
        <x:f>ABS(SUMIFS('原始数据'!$D$2:$D$513,'原始数据'!$A$2:$A$513,A209,'原始数据'!$B$2:$B$513,B209,'原始数据'!$C$2:$C$513,0)-SUMIFS('原始数据'!$D$2:$D$513,'原始数据'!$A$2:$A$513,A209,'原始数据'!$B$2:$B$513,B209,'原始数据'!$C$2:$C$513,-10))</x:f>
        <x:v>1.404138875672901</x:v>
      </x:c>
      <x:c r="D209" s="29" t="n">
        <x:f>'权重'!$B$2*SUMIFS('原始数据'!$D$2:$D$513,'原始数据'!$A$2:$A$513,A209,'原始数据'!$B$2:$B$513,B209,'原始数据'!$C$2:$C$513,0)+'权重'!$B$3*SUMIFS('原始数据'!$D$2:$D$513,'原始数据'!$A$2:$A$513,A209,'原始数据'!$B$2:$B$513,B209,'原始数据'!$C$2:$C$513,-10)</x:f>
        <x:v>13.077223772994168</x:v>
      </x:c>
    </x:row>
    <x:row r="210">
      <x:c r="A210" s="28" t="n">
        <x:v>36</x:v>
      </x:c>
      <x:c r="B210" s="28" t="n">
        <x:v>10</x:v>
      </x:c>
      <x:c r="C210" s="29" t="n">
        <x:f>ABS(SUMIFS('原始数据'!$D$2:$D$513,'原始数据'!$A$2:$A$513,A210,'原始数据'!$B$2:$B$513,B210,'原始数据'!$C$2:$C$513,0)-SUMIFS('原始数据'!$D$2:$D$513,'原始数据'!$A$2:$A$513,A210,'原始数据'!$B$2:$B$513,B210,'原始数据'!$C$2:$C$513,-10))</x:f>
        <x:v>11.559419449137575</x:v>
      </x:c>
      <x:c r="D210" s="29" t="n">
        <x:f>'权重'!$B$2*SUMIFS('原始数据'!$D$2:$D$513,'原始数据'!$A$2:$A$513,A210,'原始数据'!$B$2:$B$513,B210,'原始数据'!$C$2:$C$513,0)+'权重'!$B$3*SUMIFS('原始数据'!$D$2:$D$513,'原始数据'!$A$2:$A$513,A210,'原始数据'!$B$2:$B$513,B210,'原始数据'!$C$2:$C$513,-10)</x:f>
        <x:v>4.090868942717196</x:v>
      </x:c>
    </x:row>
    <x:row r="211">
      <x:c r="A211" s="28" t="n">
        <x:v>36</x:v>
      </x:c>
      <x:c r="B211" s="28" t="n">
        <x:v>12</x:v>
      </x:c>
      <x:c r="C211" s="29" t="n">
        <x:f>ABS(SUMIFS('原始数据'!$D$2:$D$513,'原始数据'!$A$2:$A$513,A211,'原始数据'!$B$2:$B$513,B211,'原始数据'!$C$2:$C$513,0)-SUMIFS('原始数据'!$D$2:$D$513,'原始数据'!$A$2:$A$513,A211,'原始数据'!$B$2:$B$513,B211,'原始数据'!$C$2:$C$513,-10))</x:f>
        <x:v>11.192548626551151</x:v>
      </x:c>
      <x:c r="D211" s="29" t="n">
        <x:f>'权重'!$B$2*SUMIFS('原始数据'!$D$2:$D$513,'原始数据'!$A$2:$A$513,A211,'原始数据'!$B$2:$B$513,B211,'原始数据'!$C$2:$C$513,0)+'权重'!$B$3*SUMIFS('原始数据'!$D$2:$D$513,'原始数据'!$A$2:$A$513,A211,'原始数据'!$B$2:$B$513,B211,'原始数据'!$C$2:$C$513,-10)</x:f>
        <x:v>4.441648519469295</x:v>
      </x:c>
    </x:row>
    <x:row r="212">
      <x:c r="A212" s="28" t="n">
        <x:v>36</x:v>
      </x:c>
      <x:c r="B212" s="28" t="n">
        <x:v>14</x:v>
      </x:c>
      <x:c r="C212" s="29" t="n">
        <x:f>ABS(SUMIFS('原始数据'!$D$2:$D$513,'原始数据'!$A$2:$A$513,A212,'原始数据'!$B$2:$B$513,B212,'原始数据'!$C$2:$C$513,0)-SUMIFS('原始数据'!$D$2:$D$513,'原始数据'!$A$2:$A$513,A212,'原始数据'!$B$2:$B$513,B212,'原始数据'!$C$2:$C$513,-10))</x:f>
        <x:v>9.978647479534619</x:v>
      </x:c>
      <x:c r="D212" s="29" t="n">
        <x:f>'权重'!$B$2*SUMIFS('原始数据'!$D$2:$D$513,'原始数据'!$A$2:$A$513,A212,'原始数据'!$B$2:$B$513,B212,'原始数据'!$C$2:$C$513,0)+'权重'!$B$3*SUMIFS('原始数据'!$D$2:$D$513,'原始数据'!$A$2:$A$513,A212,'原始数据'!$B$2:$B$513,B212,'原始数据'!$C$2:$C$513,-10)</x:f>
        <x:v>5.072462545925066</x:v>
      </x:c>
    </x:row>
    <x:row r="213">
      <x:c r="A213" s="28" t="n">
        <x:v>36</x:v>
      </x:c>
      <x:c r="B213" s="28" t="n">
        <x:v>16</x:v>
      </x:c>
      <x:c r="C213" s="29" t="n">
        <x:f>ABS(SUMIFS('原始数据'!$D$2:$D$513,'原始数据'!$A$2:$A$513,A213,'原始数据'!$B$2:$B$513,B213,'原始数据'!$C$2:$C$513,0)-SUMIFS('原始数据'!$D$2:$D$513,'原始数据'!$A$2:$A$513,A213,'原始数据'!$B$2:$B$513,B213,'原始数据'!$C$2:$C$513,-10))</x:f>
        <x:v>6.7299355735273405</x:v>
      </x:c>
      <x:c r="D213" s="29" t="n">
        <x:f>'权重'!$B$2*SUMIFS('原始数据'!$D$2:$D$513,'原始数据'!$A$2:$A$513,A213,'原始数据'!$B$2:$B$513,B213,'原始数据'!$C$2:$C$513,0)+'权重'!$B$3*SUMIFS('原始数据'!$D$2:$D$513,'原始数据'!$A$2:$A$513,A213,'原始数据'!$B$2:$B$513,B213,'原始数据'!$C$2:$C$513,-10)</x:f>
        <x:v>7.043874303120962</x:v>
      </x:c>
    </x:row>
    <x:row r="214">
      <x:c r="A214" s="28" t="n">
        <x:v>36</x:v>
      </x:c>
      <x:c r="B214" s="28" t="n">
        <x:v>18</x:v>
      </x:c>
      <x:c r="C214" s="29" t="n">
        <x:f>ABS(SUMIFS('原始数据'!$D$2:$D$513,'原始数据'!$A$2:$A$513,A214,'原始数据'!$B$2:$B$513,B214,'原始数据'!$C$2:$C$513,0)-SUMIFS('原始数据'!$D$2:$D$513,'原始数据'!$A$2:$A$513,A214,'原始数据'!$B$2:$B$513,B214,'原始数据'!$C$2:$C$513,-10))</x:f>
        <x:v>0.3298647996930999</x:v>
      </x:c>
      <x:c r="D214" s="29" t="n">
        <x:f>'权重'!$B$2*SUMIFS('原始数据'!$D$2:$D$513,'原始数据'!$A$2:$A$513,A214,'原始数据'!$B$2:$B$513,B214,'原始数据'!$C$2:$C$513,0)+'权重'!$B$3*SUMIFS('原始数据'!$D$2:$D$513,'原始数据'!$A$2:$A$513,A214,'原始数据'!$B$2:$B$513,B214,'原始数据'!$C$2:$C$513,-10)</x:f>
        <x:v>11.504481292753768</x:v>
      </x:c>
    </x:row>
    <x:row r="215">
      <x:c r="A215" s="28" t="n">
        <x:v>36</x:v>
      </x:c>
      <x:c r="B215" s="28" t="n">
        <x:v>20</x:v>
      </x:c>
      <x:c r="C215" s="29" t="n">
        <x:f>ABS(SUMIFS('原始数据'!$D$2:$D$513,'原始数据'!$A$2:$A$513,A215,'原始数据'!$B$2:$B$513,B215,'原始数据'!$C$2:$C$513,0)-SUMIFS('原始数据'!$D$2:$D$513,'原始数据'!$A$2:$A$513,A215,'原始数据'!$B$2:$B$513,B215,'原始数据'!$C$2:$C$513,-10))</x:f>
        <x:v>3.7748388182961</x:v>
      </x:c>
      <x:c r="D215" s="29" t="n">
        <x:f>'权重'!$B$2*SUMIFS('原始数据'!$D$2:$D$513,'原始数据'!$A$2:$A$513,A215,'原始数据'!$B$2:$B$513,B215,'原始数据'!$C$2:$C$513,0)+'权重'!$B$3*SUMIFS('原始数据'!$D$2:$D$513,'原始数据'!$A$2:$A$513,A215,'原始数据'!$B$2:$B$513,B215,'原始数据'!$C$2:$C$513,-10)</x:f>
        <x:v>13.373042333029769</x:v>
      </x:c>
    </x:row>
    <x:row r="216">
      <x:c r="A216" s="28" t="n">
        <x:v>36</x:v>
      </x:c>
      <x:c r="B216" s="28" t="n">
        <x:v>22</x:v>
      </x:c>
      <x:c r="C216" s="29" t="n">
        <x:f>ABS(SUMIFS('原始数据'!$D$2:$D$513,'原始数据'!$A$2:$A$513,A216,'原始数据'!$B$2:$B$513,B216,'原始数据'!$C$2:$C$513,0)-SUMIFS('原始数据'!$D$2:$D$513,'原始数据'!$A$2:$A$513,A216,'原始数据'!$B$2:$B$513,B216,'原始数据'!$C$2:$C$513,-10))</x:f>
        <x:v>3.978725976768999</x:v>
      </x:c>
      <x:c r="D216" s="29" t="n">
        <x:f>'权重'!$B$2*SUMIFS('原始数据'!$D$2:$D$513,'原始数据'!$A$2:$A$513,A216,'原始数据'!$B$2:$B$513,B216,'原始数据'!$C$2:$C$513,0)+'权重'!$B$3*SUMIFS('原始数据'!$D$2:$D$513,'原始数据'!$A$2:$A$513,A216,'原始数据'!$B$2:$B$513,B216,'原始数据'!$C$2:$C$513,-10)</x:f>
        <x:v>12.846676876957199</x:v>
      </x:c>
    </x:row>
    <x:row r="217">
      <x:c r="A217" s="28" t="n">
        <x:v>36</x:v>
      </x:c>
      <x:c r="B217" s="28" t="n">
        <x:v>24</x:v>
      </x:c>
      <x:c r="C217" s="29" t="n">
        <x:f>ABS(SUMIFS('原始数据'!$D$2:$D$513,'原始数据'!$A$2:$A$513,A217,'原始数据'!$B$2:$B$513,B217,'原始数据'!$C$2:$C$513,0)-SUMIFS('原始数据'!$D$2:$D$513,'原始数据'!$A$2:$A$513,A217,'原始数据'!$B$2:$B$513,B217,'原始数据'!$C$2:$C$513,-10))</x:f>
        <x:v>4.161627727889719</x:v>
      </x:c>
      <x:c r="D217" s="29" t="n">
        <x:f>'权重'!$B$2*SUMIFS('原始数据'!$D$2:$D$513,'原始数据'!$A$2:$A$513,A217,'原始数据'!$B$2:$B$513,B217,'原始数据'!$C$2:$C$513,0)+'权重'!$B$3*SUMIFS('原始数据'!$D$2:$D$513,'原始数据'!$A$2:$A$513,A217,'原始数据'!$B$2:$B$513,B217,'原始数据'!$C$2:$C$513,-10)</x:f>
        <x:v>12.203929626036185</x:v>
      </x:c>
    </x:row>
    <x:row r="218">
      <x:c r="A218" s="28" t="n">
        <x:v>36</x:v>
      </x:c>
      <x:c r="B218" s="28" t="n">
        <x:v>26</x:v>
      </x:c>
      <x:c r="C218" s="29" t="n">
        <x:f>ABS(SUMIFS('原始数据'!$D$2:$D$513,'原始数据'!$A$2:$A$513,A218,'原始数据'!$B$2:$B$513,B218,'原始数据'!$C$2:$C$513,0)-SUMIFS('原始数据'!$D$2:$D$513,'原始数据'!$A$2:$A$513,A218,'原始数据'!$B$2:$B$513,B218,'原始数据'!$C$2:$C$513,-10))</x:f>
        <x:v>3.7627371340574207</x:v>
      </x:c>
      <x:c r="D218" s="29" t="n">
        <x:f>'权重'!$B$2*SUMIFS('原始数据'!$D$2:$D$513,'原始数据'!$A$2:$A$513,A218,'原始数据'!$B$2:$B$513,B218,'原始数据'!$C$2:$C$513,0)+'权重'!$B$3*SUMIFS('原始数据'!$D$2:$D$513,'原始数据'!$A$2:$A$513,A218,'原始数据'!$B$2:$B$513,B218,'原始数据'!$C$2:$C$513,-10)</x:f>
        <x:v>11.881357922120873</x:v>
      </x:c>
    </x:row>
    <x:row r="219">
      <x:c r="A219" s="28" t="n">
        <x:v>36</x:v>
      </x:c>
      <x:c r="B219" s="28" t="n">
        <x:v>28</x:v>
      </x:c>
      <x:c r="C219" s="29" t="n">
        <x:f>ABS(SUMIFS('原始数据'!$D$2:$D$513,'原始数据'!$A$2:$A$513,A219,'原始数据'!$B$2:$B$513,B219,'原始数据'!$C$2:$C$513,0)-SUMIFS('原始数据'!$D$2:$D$513,'原始数据'!$A$2:$A$513,A219,'原始数据'!$B$2:$B$513,B219,'原始数据'!$C$2:$C$513,-10))</x:f>
        <x:v>1.3032306725378007</x:v>
      </x:c>
      <x:c r="D219" s="29" t="n">
        <x:f>'权重'!$B$2*SUMIFS('原始数据'!$D$2:$D$513,'原始数据'!$A$2:$A$513,A219,'原始数据'!$B$2:$B$513,B219,'原始数据'!$C$2:$C$513,0)+'权重'!$B$3*SUMIFS('原始数据'!$D$2:$D$513,'原始数据'!$A$2:$A$513,A219,'原始数据'!$B$2:$B$513,B219,'原始数据'!$C$2:$C$513,-10)</x:f>
        <x:v>13.18373157875744</x:v>
      </x:c>
    </x:row>
    <x:row r="220">
      <x:c r="A220" s="28" t="n">
        <x:v>36</x:v>
      </x:c>
      <x:c r="B220" s="28" t="n">
        <x:v>30</x:v>
      </x:c>
      <x:c r="C220" s="29" t="n">
        <x:f>ABS(SUMIFS('原始数据'!$D$2:$D$513,'原始数据'!$A$2:$A$513,A220,'原始数据'!$B$2:$B$513,B220,'原始数据'!$C$2:$C$513,0)-SUMIFS('原始数据'!$D$2:$D$513,'原始数据'!$A$2:$A$513,A220,'原始数据'!$B$2:$B$513,B220,'原始数据'!$C$2:$C$513,-10))</x:f>
        <x:v>3.1755079987821997</x:v>
      </x:c>
      <x:c r="D220" s="29" t="n">
        <x:f>'权重'!$B$2*SUMIFS('原始数据'!$D$2:$D$513,'原始数据'!$A$2:$A$513,A220,'原始数据'!$B$2:$B$513,B220,'原始数据'!$C$2:$C$513,0)+'权重'!$B$3*SUMIFS('原始数据'!$D$2:$D$513,'原始数据'!$A$2:$A$513,A220,'原始数据'!$B$2:$B$513,B220,'原始数据'!$C$2:$C$513,-10)</x:f>
        <x:v>13.664407757897258</x:v>
      </x:c>
    </x:row>
    <x:row r="221">
      <x:c r="A221" s="28" t="n">
        <x:v>36</x:v>
      </x:c>
      <x:c r="B221" s="28" t="n">
        <x:v>32</x:v>
      </x:c>
      <x:c r="C221" s="29" t="n">
        <x:f>ABS(SUMIFS('原始数据'!$D$2:$D$513,'原始数据'!$A$2:$A$513,A221,'原始数据'!$B$2:$B$513,B221,'原始数据'!$C$2:$C$513,0)-SUMIFS('原始数据'!$D$2:$D$513,'原始数据'!$A$2:$A$513,A221,'原始数据'!$B$2:$B$513,B221,'原始数据'!$C$2:$C$513,-10))</x:f>
        <x:v>2.0982741809139007</x:v>
      </x:c>
      <x:c r="D221" s="29" t="n">
        <x:f>'权重'!$B$2*SUMIFS('原始数据'!$D$2:$D$513,'原始数据'!$A$2:$A$513,A221,'原始数据'!$B$2:$B$513,B221,'原始数据'!$C$2:$C$513,0)+'权重'!$B$3*SUMIFS('原始数据'!$D$2:$D$513,'原始数据'!$A$2:$A$513,A221,'原始数据'!$B$2:$B$513,B221,'原始数据'!$C$2:$C$513,-10)</x:f>
        <x:v>13.28135053085417</x:v>
      </x:c>
    </x:row>
    <x:row r="222">
      <x:c r="A222" s="28" t="n">
        <x:v>36</x:v>
      </x:c>
      <x:c r="B222" s="28" t="n">
        <x:v>34</x:v>
      </x:c>
      <x:c r="C222" s="29" t="n">
        <x:f>ABS(SUMIFS('原始数据'!$D$2:$D$513,'原始数据'!$A$2:$A$513,A222,'原始数据'!$B$2:$B$513,B222,'原始数据'!$C$2:$C$513,0)-SUMIFS('原始数据'!$D$2:$D$513,'原始数据'!$A$2:$A$513,A222,'原始数据'!$B$2:$B$513,B222,'原始数据'!$C$2:$C$513,-10))</x:f>
        <x:v>1.1994906812756998</x:v>
      </x:c>
      <x:c r="D222" s="29" t="n">
        <x:f>'权重'!$B$2*SUMIFS('原始数据'!$D$2:$D$513,'原始数据'!$A$2:$A$513,A222,'原始数据'!$B$2:$B$513,B222,'原始数据'!$C$2:$C$513,0)+'权重'!$B$3*SUMIFS('原始数据'!$D$2:$D$513,'原始数据'!$A$2:$A$513,A222,'原始数据'!$B$2:$B$513,B222,'原始数据'!$C$2:$C$513,-10)</x:f>
        <x:v>12.994383200850109</x:v>
      </x:c>
    </x:row>
    <x:row r="223">
      <x:c r="A223" s="28" t="n">
        <x:v>36</x:v>
      </x:c>
      <x:c r="B223" s="28" t="n">
        <x:v>36</x:v>
      </x:c>
      <x:c r="C223" s="29" t="n">
        <x:f>ABS(SUMIFS('原始数据'!$D$2:$D$513,'原始数据'!$A$2:$A$513,A223,'原始数据'!$B$2:$B$513,B223,'原始数据'!$C$2:$C$513,0)-SUMIFS('原始数据'!$D$2:$D$513,'原始数据'!$A$2:$A$513,A223,'原始数据'!$B$2:$B$513,B223,'原始数据'!$C$2:$C$513,-10))</x:f>
        <x:v>0.9671681378882013</x:v>
      </x:c>
      <x:c r="D223" s="29" t="n">
        <x:f>'权重'!$B$2*SUMIFS('原始数据'!$D$2:$D$513,'原始数据'!$A$2:$A$513,A223,'原始数据'!$B$2:$B$513,B223,'原始数据'!$C$2:$C$513,0)+'权重'!$B$3*SUMIFS('原始数据'!$D$2:$D$513,'原始数据'!$A$2:$A$513,A223,'原始数据'!$B$2:$B$513,B223,'原始数据'!$C$2:$C$513,-10)</x:f>
        <x:v>12.87873107579156</x:v>
      </x:c>
    </x:row>
    <x:row r="224">
      <x:c r="A224" s="28" t="n">
        <x:v>36</x:v>
      </x:c>
      <x:c r="B224" s="28" t="n">
        <x:v>38</x:v>
      </x:c>
      <x:c r="C224" s="29" t="n">
        <x:f>ABS(SUMIFS('原始数据'!$D$2:$D$513,'原始数据'!$A$2:$A$513,A224,'原始数据'!$B$2:$B$513,B224,'原始数据'!$C$2:$C$513,0)-SUMIFS('原始数据'!$D$2:$D$513,'原始数据'!$A$2:$A$513,A224,'原始数据'!$B$2:$B$513,B224,'原始数据'!$C$2:$C$513,-10))</x:f>
        <x:v>0.859406943201499</x:v>
      </x:c>
      <x:c r="D224" s="29" t="n">
        <x:f>'权重'!$B$2*SUMIFS('原始数据'!$D$2:$D$513,'原始数据'!$A$2:$A$513,A224,'原始数据'!$B$2:$B$513,B224,'原始数据'!$C$2:$C$513,0)+'权重'!$B$3*SUMIFS('原始数据'!$D$2:$D$513,'原始数据'!$A$2:$A$513,A224,'原始数据'!$B$2:$B$513,B224,'原始数据'!$C$2:$C$513,-10)</x:f>
        <x:v>12.787947934438249</x:v>
      </x:c>
    </x:row>
    <x:row r="225">
      <x:c r="A225" s="28" t="n">
        <x:v>36</x:v>
      </x:c>
      <x:c r="B225" s="28" t="n">
        <x:v>40</x:v>
      </x:c>
      <x:c r="C225" s="29" t="n">
        <x:f>ABS(SUMIFS('原始数据'!$D$2:$D$513,'原始数据'!$A$2:$A$513,A225,'原始数据'!$B$2:$B$513,B225,'原始数据'!$C$2:$C$513,0)-SUMIFS('原始数据'!$D$2:$D$513,'原始数据'!$A$2:$A$513,A225,'原始数据'!$B$2:$B$513,B225,'原始数据'!$C$2:$C$513,-10))</x:f>
        <x:v>1.3189242333743003</x:v>
      </x:c>
      <x:c r="D225" s="29" t="n">
        <x:f>'权重'!$B$2*SUMIFS('原始数据'!$D$2:$D$513,'原始数据'!$A$2:$A$513,A225,'原始数据'!$B$2:$B$513,B225,'原始数据'!$C$2:$C$513,0)+'权重'!$B$3*SUMIFS('原始数据'!$D$2:$D$513,'原始数据'!$A$2:$A$513,A225,'原始数据'!$B$2:$B$513,B225,'原始数据'!$C$2:$C$513,-10)</x:f>
        <x:v>12.91342345035019</x:v>
      </x:c>
    </x:row>
    <x:row r="226">
      <x:c r="A226" s="28" t="n">
        <x:v>38</x:v>
      </x:c>
      <x:c r="B226" s="28" t="n">
        <x:v>10</x:v>
      </x:c>
      <x:c r="C226" s="29" t="n">
        <x:f>ABS(SUMIFS('原始数据'!$D$2:$D$513,'原始数据'!$A$2:$A$513,A226,'原始数据'!$B$2:$B$513,B226,'原始数据'!$C$2:$C$513,0)-SUMIFS('原始数据'!$D$2:$D$513,'原始数据'!$A$2:$A$513,A226,'原始数据'!$B$2:$B$513,B226,'原始数据'!$C$2:$C$513,-10))</x:f>
        <x:v>9.916470582705097</x:v>
      </x:c>
      <x:c r="D226" s="29" t="n">
        <x:f>'权重'!$B$2*SUMIFS('原始数据'!$D$2:$D$513,'原始数据'!$A$2:$A$513,A226,'原始数据'!$B$2:$B$513,B226,'原始数据'!$C$2:$C$513,0)+'权重'!$B$3*SUMIFS('原始数据'!$D$2:$D$513,'原始数据'!$A$2:$A$513,A226,'原始数据'!$B$2:$B$513,B226,'原始数据'!$C$2:$C$513,-10)</x:f>
        <x:v>3.458549784406632</x:v>
      </x:c>
    </x:row>
    <x:row r="227">
      <x:c r="A227" s="28" t="n">
        <x:v>38</x:v>
      </x:c>
      <x:c r="B227" s="28" t="n">
        <x:v>12</x:v>
      </x:c>
      <x:c r="C227" s="29" t="n">
        <x:f>ABS(SUMIFS('原始数据'!$D$2:$D$513,'原始数据'!$A$2:$A$513,A227,'原始数据'!$B$2:$B$513,B227,'原始数据'!$C$2:$C$513,0)-SUMIFS('原始数据'!$D$2:$D$513,'原始数据'!$A$2:$A$513,A227,'原始数据'!$B$2:$B$513,B227,'原始数据'!$C$2:$C$513,-10))</x:f>
        <x:v>10.368550447623512</x:v>
      </x:c>
      <x:c r="D227" s="29" t="n">
        <x:f>'权重'!$B$2*SUMIFS('原始数据'!$D$2:$D$513,'原始数据'!$A$2:$A$513,A227,'原始数据'!$B$2:$B$513,B227,'原始数据'!$C$2:$C$513,0)+'权重'!$B$3*SUMIFS('原始数据'!$D$2:$D$513,'原始数据'!$A$2:$A$513,A227,'原始数据'!$B$2:$B$513,B227,'原始数据'!$C$2:$C$513,-10)</x:f>
        <x:v>3.8229637672883405</x:v>
      </x:c>
    </x:row>
    <x:row r="228">
      <x:c r="A228" s="28" t="n">
        <x:v>38</x:v>
      </x:c>
      <x:c r="B228" s="28" t="n">
        <x:v>14</x:v>
      </x:c>
      <x:c r="C228" s="29" t="n">
        <x:f>ABS(SUMIFS('原始数据'!$D$2:$D$513,'原始数据'!$A$2:$A$513,A228,'原始数据'!$B$2:$B$513,B228,'原始数据'!$C$2:$C$513,0)-SUMIFS('原始数据'!$D$2:$D$513,'原始数据'!$A$2:$A$513,A228,'原始数据'!$B$2:$B$513,B228,'原始数据'!$C$2:$C$513,-10))</x:f>
        <x:v>9.653636317419188</x:v>
      </x:c>
      <x:c r="D228" s="29" t="n">
        <x:f>'权重'!$B$2*SUMIFS('原始数据'!$D$2:$D$513,'原始数据'!$A$2:$A$513,A228,'原始数据'!$B$2:$B$513,B228,'原始数据'!$C$2:$C$513,0)+'权重'!$B$3*SUMIFS('原始数据'!$D$2:$D$513,'原始数据'!$A$2:$A$513,A228,'原始数据'!$B$2:$B$513,B228,'原始数据'!$C$2:$C$513,-10)</x:f>
        <x:v>4.292996198525467</x:v>
      </x:c>
    </x:row>
    <x:row r="229">
      <x:c r="A229" s="28" t="n">
        <x:v>38</x:v>
      </x:c>
      <x:c r="B229" s="28" t="n">
        <x:v>16</x:v>
      </x:c>
      <x:c r="C229" s="29" t="n">
        <x:f>ABS(SUMIFS('原始数据'!$D$2:$D$513,'原始数据'!$A$2:$A$513,A229,'原始数据'!$B$2:$B$513,B229,'原始数据'!$C$2:$C$513,0)-SUMIFS('原始数据'!$D$2:$D$513,'原始数据'!$A$2:$A$513,A229,'原始数据'!$B$2:$B$513,B229,'原始数据'!$C$2:$C$513,-10))</x:f>
        <x:v>7.90548938252325</x:v>
      </x:c>
      <x:c r="D229" s="29" t="n">
        <x:f>'权重'!$B$2*SUMIFS('原始数据'!$D$2:$D$513,'原始数据'!$A$2:$A$513,A229,'原始数据'!$B$2:$B$513,B229,'原始数据'!$C$2:$C$513,0)+'权重'!$B$3*SUMIFS('原始数据'!$D$2:$D$513,'原始数据'!$A$2:$A$513,A229,'原始数据'!$B$2:$B$513,B229,'原始数据'!$C$2:$C$513,-10)</x:f>
        <x:v>5.490069229546124</x:v>
      </x:c>
    </x:row>
    <x:row r="230">
      <x:c r="A230" s="28" t="n">
        <x:v>38</x:v>
      </x:c>
      <x:c r="B230" s="28" t="n">
        <x:v>18</x:v>
      </x:c>
      <x:c r="C230" s="29" t="n">
        <x:f>ABS(SUMIFS('原始数据'!$D$2:$D$513,'原始数据'!$A$2:$A$513,A230,'原始数据'!$B$2:$B$513,B230,'原始数据'!$C$2:$C$513,0)-SUMIFS('原始数据'!$D$2:$D$513,'原始数据'!$A$2:$A$513,A230,'原始数据'!$B$2:$B$513,B230,'原始数据'!$C$2:$C$513,-10))</x:f>
        <x:v>2.71660455643082</x:v>
      </x:c>
      <x:c r="D230" s="29" t="n">
        <x:f>'权重'!$B$2*SUMIFS('原始数据'!$D$2:$D$513,'原始数据'!$A$2:$A$513,A230,'原始数据'!$B$2:$B$513,B230,'原始数据'!$C$2:$C$513,0)+'权重'!$B$3*SUMIFS('原始数据'!$D$2:$D$513,'原始数据'!$A$2:$A$513,A230,'原始数据'!$B$2:$B$513,B230,'原始数据'!$C$2:$C$513,-10)</x:f>
        <x:v>8.838504355488325</x:v>
      </x:c>
    </x:row>
    <x:row r="231">
      <x:c r="A231" s="28" t="n">
        <x:v>38</x:v>
      </x:c>
      <x:c r="B231" s="28" t="n">
        <x:v>20</x:v>
      </x:c>
      <x:c r="C231" s="29" t="n">
        <x:f>ABS(SUMIFS('原始数据'!$D$2:$D$513,'原始数据'!$A$2:$A$513,A231,'原始数据'!$B$2:$B$513,B231,'原始数据'!$C$2:$C$513,0)-SUMIFS('原始数据'!$D$2:$D$513,'原始数据'!$A$2:$A$513,A231,'原始数据'!$B$2:$B$513,B231,'原始数据'!$C$2:$C$513,-10))</x:f>
        <x:v>3.2562297459624006</x:v>
      </x:c>
      <x:c r="D231" s="29" t="n">
        <x:f>'权重'!$B$2*SUMIFS('原始数据'!$D$2:$D$513,'原始数据'!$A$2:$A$513,A231,'原始数据'!$B$2:$B$513,B231,'原始数据'!$C$2:$C$513,0)+'权重'!$B$3*SUMIFS('原始数据'!$D$2:$D$513,'原始数据'!$A$2:$A$513,A231,'原始数据'!$B$2:$B$513,B231,'原始数据'!$C$2:$C$513,-10)</x:f>
        <x:v>12.687709070674881</x:v>
      </x:c>
    </x:row>
    <x:row r="232">
      <x:c r="A232" s="28" t="n">
        <x:v>38</x:v>
      </x:c>
      <x:c r="B232" s="28" t="n">
        <x:v>22</x:v>
      </x:c>
      <x:c r="C232" s="29" t="n">
        <x:f>ABS(SUMIFS('原始数据'!$D$2:$D$513,'原始数据'!$A$2:$A$513,A232,'原始数据'!$B$2:$B$513,B232,'原始数据'!$C$2:$C$513,0)-SUMIFS('原始数据'!$D$2:$D$513,'原始数据'!$A$2:$A$513,A232,'原始数据'!$B$2:$B$513,B232,'原始数据'!$C$2:$C$513,-10))</x:f>
        <x:v>4.362421805583191</x:v>
      </x:c>
      <x:c r="D232" s="29" t="n">
        <x:f>'权重'!$B$2*SUMIFS('原始数据'!$D$2:$D$513,'原始数据'!$A$2:$A$513,A232,'原始数据'!$B$2:$B$513,B232,'原始数据'!$C$2:$C$513,0)+'权重'!$B$3*SUMIFS('原始数据'!$D$2:$D$513,'原始数据'!$A$2:$A$513,A232,'原始数据'!$B$2:$B$513,B232,'原始数据'!$C$2:$C$513,-10)</x:f>
        <x:v>12.986915046910543</x:v>
      </x:c>
    </x:row>
    <x:row r="233">
      <x:c r="A233" s="28" t="n">
        <x:v>38</x:v>
      </x:c>
      <x:c r="B233" s="28" t="n">
        <x:v>24</x:v>
      </x:c>
      <x:c r="C233" s="29" t="n">
        <x:f>ABS(SUMIFS('原始数据'!$D$2:$D$513,'原始数据'!$A$2:$A$513,A233,'原始数据'!$B$2:$B$513,B233,'原始数据'!$C$2:$C$513,0)-SUMIFS('原始数据'!$D$2:$D$513,'原始数据'!$A$2:$A$513,A233,'原始数据'!$B$2:$B$513,B233,'原始数据'!$C$2:$C$513,-10))</x:f>
        <x:v>4.1639120412679205</x:v>
      </x:c>
      <x:c r="D233" s="29" t="n">
        <x:f>'权重'!$B$2*SUMIFS('原始数据'!$D$2:$D$513,'原始数据'!$A$2:$A$513,A233,'原始数据'!$B$2:$B$513,B233,'原始数据'!$C$2:$C$513,0)+'权重'!$B$3*SUMIFS('原始数据'!$D$2:$D$513,'原始数据'!$A$2:$A$513,A233,'原始数据'!$B$2:$B$513,B233,'原始数据'!$C$2:$C$513,-10)</x:f>
        <x:v>12.356866009913322</x:v>
      </x:c>
    </x:row>
    <x:row r="234">
      <x:c r="A234" s="28" t="n">
        <x:v>38</x:v>
      </x:c>
      <x:c r="B234" s="28" t="n">
        <x:v>26</x:v>
      </x:c>
      <x:c r="C234" s="29" t="n">
        <x:f>ABS(SUMIFS('原始数据'!$D$2:$D$513,'原始数据'!$A$2:$A$513,A234,'原始数据'!$B$2:$B$513,B234,'原始数据'!$C$2:$C$513,0)-SUMIFS('原始数据'!$D$2:$D$513,'原始数据'!$A$2:$A$513,A234,'原始数据'!$B$2:$B$513,B234,'原始数据'!$C$2:$C$513,-10))</x:f>
        <x:v>4.220327461956829</x:v>
      </x:c>
      <x:c r="D234" s="29" t="n">
        <x:f>'权重'!$B$2*SUMIFS('原始数据'!$D$2:$D$513,'原始数据'!$A$2:$A$513,A234,'原始数据'!$B$2:$B$513,B234,'原始数据'!$C$2:$C$513,0)+'权重'!$B$3*SUMIFS('原始数据'!$D$2:$D$513,'原始数据'!$A$2:$A$513,A234,'原始数据'!$B$2:$B$513,B234,'原始数据'!$C$2:$C$513,-10)</x:f>
        <x:v>11.820329322038951</x:v>
      </x:c>
    </x:row>
    <x:row r="235">
      <x:c r="A235" s="28" t="n">
        <x:v>38</x:v>
      </x:c>
      <x:c r="B235" s="28" t="n">
        <x:v>28</x:v>
      </x:c>
      <x:c r="C235" s="29" t="n">
        <x:f>ABS(SUMIFS('原始数据'!$D$2:$D$513,'原始数据'!$A$2:$A$513,A235,'原始数据'!$B$2:$B$513,B235,'原始数据'!$C$2:$C$513,0)-SUMIFS('原始数据'!$D$2:$D$513,'原始数据'!$A$2:$A$513,A235,'原始数据'!$B$2:$B$513,B235,'原始数据'!$C$2:$C$513,-10))</x:f>
        <x:v>1.7618709453115997</x:v>
      </x:c>
      <x:c r="D235" s="29" t="n">
        <x:f>'权重'!$B$2*SUMIFS('原始数据'!$D$2:$D$513,'原始数据'!$A$2:$A$513,A235,'原始数据'!$B$2:$B$513,B235,'原始数据'!$C$2:$C$513,0)+'权重'!$B$3*SUMIFS('原始数据'!$D$2:$D$513,'原始数据'!$A$2:$A$513,A235,'原始数据'!$B$2:$B$513,B235,'原始数据'!$C$2:$C$513,-10)</x:f>
        <x:v>12.27843422162762</x:v>
      </x:c>
    </x:row>
    <x:row r="236">
      <x:c r="A236" s="28" t="n">
        <x:v>38</x:v>
      </x:c>
      <x:c r="B236" s="28" t="n">
        <x:v>30</x:v>
      </x:c>
      <x:c r="C236" s="29" t="n">
        <x:f>ABS(SUMIFS('原始数据'!$D$2:$D$513,'原始数据'!$A$2:$A$513,A236,'原始数据'!$B$2:$B$513,B236,'原始数据'!$C$2:$C$513,0)-SUMIFS('原始数据'!$D$2:$D$513,'原始数据'!$A$2:$A$513,A236,'原始数据'!$B$2:$B$513,B236,'原始数据'!$C$2:$C$513,-10))</x:f>
        <x:v>3.471639708400998</x:v>
      </x:c>
      <x:c r="D236" s="29" t="n">
        <x:f>'权重'!$B$2*SUMIFS('原始数据'!$D$2:$D$513,'原始数据'!$A$2:$A$513,A236,'原始数据'!$B$2:$B$513,B236,'原始数据'!$C$2:$C$513,0)+'权重'!$B$3*SUMIFS('原始数据'!$D$2:$D$513,'原始数据'!$A$2:$A$513,A236,'原始数据'!$B$2:$B$513,B236,'原始数据'!$C$2:$C$513,-10)</x:f>
        <x:v>13.738849209708999</x:v>
      </x:c>
    </x:row>
    <x:row r="237">
      <x:c r="A237" s="28" t="n">
        <x:v>38</x:v>
      </x:c>
      <x:c r="B237" s="28" t="n">
        <x:v>32</x:v>
      </x:c>
      <x:c r="C237" s="29" t="n">
        <x:f>ABS(SUMIFS('原始数据'!$D$2:$D$513,'原始数据'!$A$2:$A$513,A237,'原始数据'!$B$2:$B$513,B237,'原始数据'!$C$2:$C$513,0)-SUMIFS('原始数据'!$D$2:$D$513,'原始数据'!$A$2:$A$513,A237,'原始数据'!$B$2:$B$513,B237,'原始数据'!$C$2:$C$513,-10))</x:f>
        <x:v>2.9287648174694</x:v>
      </x:c>
      <x:c r="D237" s="29" t="n">
        <x:f>'权重'!$B$2*SUMIFS('原始数据'!$D$2:$D$513,'原始数据'!$A$2:$A$513,A237,'原始数据'!$B$2:$B$513,B237,'原始数据'!$C$2:$C$513,0)+'权重'!$B$3*SUMIFS('原始数据'!$D$2:$D$513,'原始数据'!$A$2:$A$513,A237,'原始数据'!$B$2:$B$513,B237,'原始数据'!$C$2:$C$513,-10)</x:f>
        <x:v>13.465929713087718</x:v>
      </x:c>
    </x:row>
    <x:row r="238">
      <x:c r="A238" s="28" t="n">
        <x:v>38</x:v>
      </x:c>
      <x:c r="B238" s="28" t="n">
        <x:v>34</x:v>
      </x:c>
      <x:c r="C238" s="29" t="n">
        <x:f>ABS(SUMIFS('原始数据'!$D$2:$D$513,'原始数据'!$A$2:$A$513,A238,'原始数据'!$B$2:$B$513,B238,'原始数据'!$C$2:$C$513,0)-SUMIFS('原始数据'!$D$2:$D$513,'原始数据'!$A$2:$A$513,A238,'原始数据'!$B$2:$B$513,B238,'原始数据'!$C$2:$C$513,-10))</x:f>
        <x:v>2.1017585044575995</x:v>
      </x:c>
      <x:c r="D238" s="29" t="n">
        <x:f>'权重'!$B$2*SUMIFS('原始数据'!$D$2:$D$513,'原始数据'!$A$2:$A$513,A238,'原始数据'!$B$2:$B$513,B238,'原始数据'!$C$2:$C$513,0)+'权重'!$B$3*SUMIFS('原始数据'!$D$2:$D$513,'原始数据'!$A$2:$A$513,A238,'原始数据'!$B$2:$B$513,B238,'原始数据'!$C$2:$C$513,-10)</x:f>
        <x:v>13.07809391030488</x:v>
      </x:c>
    </x:row>
    <x:row r="239">
      <x:c r="A239" s="28" t="n">
        <x:v>38</x:v>
      </x:c>
      <x:c r="B239" s="28" t="n">
        <x:v>36</x:v>
      </x:c>
      <x:c r="C239" s="29" t="n">
        <x:f>ABS(SUMIFS('原始数据'!$D$2:$D$513,'原始数据'!$A$2:$A$513,A239,'原始数据'!$B$2:$B$513,B239,'原始数据'!$C$2:$C$513,0)-SUMIFS('原始数据'!$D$2:$D$513,'原始数据'!$A$2:$A$513,A239,'原始数据'!$B$2:$B$513,B239,'原始数据'!$C$2:$C$513,-10))</x:f>
        <x:v>1.4897147126602004</x:v>
      </x:c>
      <x:c r="D239" s="29" t="n">
        <x:f>'权重'!$B$2*SUMIFS('原始数据'!$D$2:$D$513,'原始数据'!$A$2:$A$513,A239,'原始数据'!$B$2:$B$513,B239,'原始数据'!$C$2:$C$513,0)+'权重'!$B$3*SUMIFS('原始数据'!$D$2:$D$513,'原始数据'!$A$2:$A$513,A239,'原始数据'!$B$2:$B$513,B239,'原始数据'!$C$2:$C$513,-10)</x:f>
        <x:v>12.844334794490358</x:v>
      </x:c>
    </x:row>
    <x:row r="240">
      <x:c r="A240" s="28" t="n">
        <x:v>38</x:v>
      </x:c>
      <x:c r="B240" s="28" t="n">
        <x:v>38</x:v>
      </x:c>
      <x:c r="C240" s="29" t="n">
        <x:f>ABS(SUMIFS('原始数据'!$D$2:$D$513,'原始数据'!$A$2:$A$513,A240,'原始数据'!$B$2:$B$513,B240,'原始数据'!$C$2:$C$513,0)-SUMIFS('原始数据'!$D$2:$D$513,'原始数据'!$A$2:$A$513,A240,'原始数据'!$B$2:$B$513,B240,'原始数据'!$C$2:$C$513,-10))</x:f>
        <x:v>1.24622553701</x:v>
      </x:c>
      <x:c r="D240" s="29" t="n">
        <x:f>'权重'!$B$2*SUMIFS('原始数据'!$D$2:$D$513,'原始数据'!$A$2:$A$513,A240,'原始数据'!$B$2:$B$513,B240,'原始数据'!$C$2:$C$513,0)+'权重'!$B$3*SUMIFS('原始数据'!$D$2:$D$513,'原始数据'!$A$2:$A$513,A240,'原始数据'!$B$2:$B$513,B240,'原始数据'!$C$2:$C$513,-10)</x:f>
        <x:v>12.752854194910098</x:v>
      </x:c>
    </x:row>
    <x:row r="241">
      <x:c r="A241" s="28" t="n">
        <x:v>38</x:v>
      </x:c>
      <x:c r="B241" s="28" t="n">
        <x:v>40</x:v>
      </x:c>
      <x:c r="C241" s="29" t="n">
        <x:f>ABS(SUMIFS('原始数据'!$D$2:$D$513,'原始数据'!$A$2:$A$513,A241,'原始数据'!$B$2:$B$513,B241,'原始数据'!$C$2:$C$513,0)-SUMIFS('原始数据'!$D$2:$D$513,'原始数据'!$A$2:$A$513,A241,'原始数据'!$B$2:$B$513,B241,'原始数据'!$C$2:$C$513,-10))</x:f>
        <x:v>1.1589993905512</x:v>
      </x:c>
      <x:c r="D241" s="29" t="n">
        <x:f>'权重'!$B$2*SUMIFS('原始数据'!$D$2:$D$513,'原始数据'!$A$2:$A$513,A241,'原始数据'!$B$2:$B$513,B241,'原始数据'!$C$2:$C$513,0)+'权重'!$B$3*SUMIFS('原始数据'!$D$2:$D$513,'原始数据'!$A$2:$A$513,A241,'原始数据'!$B$2:$B$513,B241,'原始数据'!$C$2:$C$513,-10)</x:f>
        <x:v>12.826461695481159</x:v>
      </x:c>
    </x:row>
    <x:row r="242">
      <x:c r="A242" s="28" t="n">
        <x:v>40</x:v>
      </x:c>
      <x:c r="B242" s="28" t="n">
        <x:v>10</x:v>
      </x:c>
      <x:c r="C242" s="29" t="n">
        <x:f>ABS(SUMIFS('原始数据'!$D$2:$D$513,'原始数据'!$A$2:$A$513,A242,'原始数据'!$B$2:$B$513,B242,'原始数据'!$C$2:$C$513,0)-SUMIFS('原始数据'!$D$2:$D$513,'原始数据'!$A$2:$A$513,A242,'原始数据'!$B$2:$B$513,B242,'原始数据'!$C$2:$C$513,-10))</x:f>
        <x:v>8.290811755379012</x:v>
      </x:c>
      <x:c r="D242" s="29" t="n">
        <x:f>'权重'!$B$2*SUMIFS('原始数据'!$D$2:$D$513,'原始数据'!$A$2:$A$513,A242,'原始数据'!$B$2:$B$513,B242,'原始数据'!$C$2:$C$513,0)+'权重'!$B$3*SUMIFS('原始数据'!$D$2:$D$513,'原始数据'!$A$2:$A$513,A242,'原始数据'!$B$2:$B$513,B242,'原始数据'!$C$2:$C$513,-10)</x:f>
        <x:v>2.7754285440790314</x:v>
      </x:c>
    </x:row>
    <x:row r="243">
      <x:c r="A243" s="28" t="n">
        <x:v>40</x:v>
      </x:c>
      <x:c r="B243" s="28" t="n">
        <x:v>12</x:v>
      </x:c>
      <x:c r="C243" s="29" t="n">
        <x:f>ABS(SUMIFS('原始数据'!$D$2:$D$513,'原始数据'!$A$2:$A$513,A243,'原始数据'!$B$2:$B$513,B243,'原始数据'!$C$2:$C$513,0)-SUMIFS('原始数据'!$D$2:$D$513,'原始数据'!$A$2:$A$513,A243,'原始数据'!$B$2:$B$513,B243,'原始数据'!$C$2:$C$513,-10))</x:f>
        <x:v>8.947966100465653</x:v>
      </x:c>
      <x:c r="D243" s="29" t="n">
        <x:f>'权重'!$B$2*SUMIFS('原始数据'!$D$2:$D$513,'原始数据'!$A$2:$A$513,A243,'原始数据'!$B$2:$B$513,B243,'原始数据'!$C$2:$C$513,0)+'权重'!$B$3*SUMIFS('原始数据'!$D$2:$D$513,'原始数据'!$A$2:$A$513,A243,'原始数据'!$B$2:$B$513,B243,'原始数据'!$C$2:$C$513,-10)</x:f>
        <x:v>3.2333648224396425</x:v>
      </x:c>
    </x:row>
    <x:row r="244">
      <x:c r="A244" s="28" t="n">
        <x:v>40</x:v>
      </x:c>
      <x:c r="B244" s="28" t="n">
        <x:v>14</x:v>
      </x:c>
      <x:c r="C244" s="29" t="n">
        <x:f>ABS(SUMIFS('原始数据'!$D$2:$D$513,'原始数据'!$A$2:$A$513,A244,'原始数据'!$B$2:$B$513,B244,'原始数据'!$C$2:$C$513,0)-SUMIFS('原始数据'!$D$2:$D$513,'原始数据'!$A$2:$A$513,A244,'原始数据'!$B$2:$B$513,B244,'原始数据'!$C$2:$C$513,-10))</x:f>
        <x:v>9.09614518860474</x:v>
      </x:c>
      <x:c r="D244" s="29" t="n">
        <x:f>'权重'!$B$2*SUMIFS('原始数据'!$D$2:$D$513,'原始数据'!$A$2:$A$513,A244,'原始数据'!$B$2:$B$513,B244,'原始数据'!$C$2:$C$513,0)+'权重'!$B$3*SUMIFS('原始数据'!$D$2:$D$513,'原始数据'!$A$2:$A$513,A244,'原始数据'!$B$2:$B$513,B244,'原始数据'!$C$2:$C$513,-10)</x:f>
        <x:v>3.6043618093760412</x:v>
      </x:c>
    </x:row>
    <x:row r="245">
      <x:c r="A245" s="28" t="n">
        <x:v>40</x:v>
      </x:c>
      <x:c r="B245" s="28" t="n">
        <x:v>16</x:v>
      </x:c>
      <x:c r="C245" s="29" t="n">
        <x:f>ABS(SUMIFS('原始数据'!$D$2:$D$513,'原始数据'!$A$2:$A$513,A245,'原始数据'!$B$2:$B$513,B245,'原始数据'!$C$2:$C$513,0)-SUMIFS('原始数据'!$D$2:$D$513,'原始数据'!$A$2:$A$513,A245,'原始数据'!$B$2:$B$513,B245,'原始数据'!$C$2:$C$513,-10))</x:f>
        <x:v>7.97113587045159</x:v>
      </x:c>
      <x:c r="D245" s="29" t="n">
        <x:f>'权重'!$B$2*SUMIFS('原始数据'!$D$2:$D$513,'原始数据'!$A$2:$A$513,A245,'原始数据'!$B$2:$B$513,B245,'原始数据'!$C$2:$C$513,0)+'权重'!$B$3*SUMIFS('原始数据'!$D$2:$D$513,'原始数据'!$A$2:$A$513,A245,'原始数据'!$B$2:$B$513,B245,'原始数据'!$C$2:$C$513,-10)</x:f>
        <x:v>4.403507398831987</x:v>
      </x:c>
    </x:row>
    <x:row r="246">
      <x:c r="A246" s="28" t="n">
        <x:v>40</x:v>
      </x:c>
      <x:c r="B246" s="28" t="n">
        <x:v>18</x:v>
      </x:c>
      <x:c r="C246" s="29" t="n">
        <x:f>ABS(SUMIFS('原始数据'!$D$2:$D$513,'原始数据'!$A$2:$A$513,A246,'原始数据'!$B$2:$B$513,B246,'原始数据'!$C$2:$C$513,0)-SUMIFS('原始数据'!$D$2:$D$513,'原始数据'!$A$2:$A$513,A246,'原始数据'!$B$2:$B$513,B246,'原始数据'!$C$2:$C$513,-10))</x:f>
        <x:v>5.03376751638966</x:v>
      </x:c>
      <x:c r="D246" s="29" t="n">
        <x:f>'权重'!$B$2*SUMIFS('原始数据'!$D$2:$D$513,'原始数据'!$A$2:$A$513,A246,'原始数据'!$B$2:$B$513,B246,'原始数据'!$C$2:$C$513,0)+'权重'!$B$3*SUMIFS('原始数据'!$D$2:$D$513,'原始数据'!$A$2:$A$513,A246,'原始数据'!$B$2:$B$513,B246,'原始数据'!$C$2:$C$513,-10)</x:f>
        <x:v>6.524660812372938</x:v>
      </x:c>
    </x:row>
    <x:row r="247">
      <x:c r="A247" s="28" t="n">
        <x:v>40</x:v>
      </x:c>
      <x:c r="B247" s="28" t="n">
        <x:v>20</x:v>
      </x:c>
      <x:c r="C247" s="29" t="n">
        <x:f>ABS(SUMIFS('原始数据'!$D$2:$D$513,'原始数据'!$A$2:$A$513,A247,'原始数据'!$B$2:$B$513,B247,'原始数据'!$C$2:$C$513,0)-SUMIFS('原始数据'!$D$2:$D$513,'原始数据'!$A$2:$A$513,A247,'原始数据'!$B$2:$B$513,B247,'原始数据'!$C$2:$C$513,-10))</x:f>
        <x:v>1.47462401968507</x:v>
      </x:c>
      <x:c r="D247" s="29" t="n">
        <x:f>'权重'!$B$2*SUMIFS('原始数据'!$D$2:$D$513,'原始数据'!$A$2:$A$513,A247,'原始数据'!$B$2:$B$513,B247,'原始数据'!$C$2:$C$513,0)+'权重'!$B$3*SUMIFS('原始数据'!$D$2:$D$513,'原始数据'!$A$2:$A$513,A247,'原始数据'!$B$2:$B$513,B247,'原始数据'!$C$2:$C$513,-10)</x:f>
        <x:v>10.826609380918079</x:v>
      </x:c>
    </x:row>
    <x:row r="248">
      <x:c r="A248" s="28" t="n">
        <x:v>40</x:v>
      </x:c>
      <x:c r="B248" s="28" t="n">
        <x:v>22</x:v>
      </x:c>
      <x:c r="C248" s="29" t="n">
        <x:f>ABS(SUMIFS('原始数据'!$D$2:$D$513,'原始数据'!$A$2:$A$513,A248,'原始数据'!$B$2:$B$513,B248,'原始数据'!$C$2:$C$513,0)-SUMIFS('原始数据'!$D$2:$D$513,'原始数据'!$A$2:$A$513,A248,'原始数据'!$B$2:$B$513,B248,'原始数据'!$C$2:$C$513,-10))</x:f>
        <x:v>4.6363368594324115</x:v>
      </x:c>
      <x:c r="D248" s="29" t="n">
        <x:f>'权重'!$B$2*SUMIFS('原始数据'!$D$2:$D$513,'原始数据'!$A$2:$A$513,A248,'原始数据'!$B$2:$B$513,B248,'原始数据'!$C$2:$C$513,0)+'权重'!$B$3*SUMIFS('原始数据'!$D$2:$D$513,'原始数据'!$A$2:$A$513,A248,'原始数据'!$B$2:$B$513,B248,'原始数据'!$C$2:$C$513,-10)</x:f>
        <x:v>12.836657505467176</x:v>
      </x:c>
    </x:row>
    <x:row r="249">
      <x:c r="A249" s="28" t="n">
        <x:v>40</x:v>
      </x:c>
      <x:c r="B249" s="28" t="n">
        <x:v>24</x:v>
      </x:c>
      <x:c r="C249" s="29" t="n">
        <x:f>ABS(SUMIFS('原始数据'!$D$2:$D$513,'原始数据'!$A$2:$A$513,A249,'原始数据'!$B$2:$B$513,B249,'原始数据'!$C$2:$C$513,0)-SUMIFS('原始数据'!$D$2:$D$513,'原始数据'!$A$2:$A$513,A249,'原始数据'!$B$2:$B$513,B249,'原始数据'!$C$2:$C$513,-10))</x:f>
        <x:v>4.8454637444258</x:v>
      </x:c>
      <x:c r="D249" s="29" t="n">
        <x:f>'权重'!$B$2*SUMIFS('原始数据'!$D$2:$D$513,'原始数据'!$A$2:$A$513,A249,'原始数据'!$B$2:$B$513,B249,'原始数据'!$C$2:$C$513,0)+'权重'!$B$3*SUMIFS('原始数据'!$D$2:$D$513,'原始数据'!$A$2:$A$513,A249,'原始数据'!$B$2:$B$513,B249,'原始数据'!$C$2:$C$513,-10)</x:f>
        <x:v>12.444362231206759</x:v>
      </x:c>
    </x:row>
    <x:row r="250">
      <x:c r="A250" s="28" t="n">
        <x:v>40</x:v>
      </x:c>
      <x:c r="B250" s="28" t="n">
        <x:v>26</x:v>
      </x:c>
      <x:c r="C250" s="29" t="n">
        <x:f>ABS(SUMIFS('原始数据'!$D$2:$D$513,'原始数据'!$A$2:$A$513,A250,'原始数据'!$B$2:$B$513,B250,'原始数据'!$C$2:$C$513,0)-SUMIFS('原始数据'!$D$2:$D$513,'原始数据'!$A$2:$A$513,A250,'原始数据'!$B$2:$B$513,B250,'原始数据'!$C$2:$C$513,-10))</x:f>
        <x:v>4.510769572718861</x:v>
      </x:c>
      <x:c r="D250" s="29" t="n">
        <x:f>'权重'!$B$2*SUMIFS('原始数据'!$D$2:$D$513,'原始数据'!$A$2:$A$513,A250,'原始数据'!$B$2:$B$513,B250,'原始数据'!$C$2:$C$513,0)+'权重'!$B$3*SUMIFS('原始数据'!$D$2:$D$513,'原始数据'!$A$2:$A$513,A250,'原始数据'!$B$2:$B$513,B250,'原始数据'!$C$2:$C$513,-10)</x:f>
        <x:v>11.97253540589314</x:v>
      </x:c>
    </x:row>
    <x:row r="251">
      <x:c r="A251" s="28" t="n">
        <x:v>40</x:v>
      </x:c>
      <x:c r="B251" s="28" t="n">
        <x:v>28</x:v>
      </x:c>
      <x:c r="C251" s="29" t="n">
        <x:f>ABS(SUMIFS('原始数据'!$D$2:$D$513,'原始数据'!$A$2:$A$513,A251,'原始数据'!$B$2:$B$513,B251,'原始数据'!$C$2:$C$513,0)-SUMIFS('原始数据'!$D$2:$D$513,'原始数据'!$A$2:$A$513,A251,'原始数据'!$B$2:$B$513,B251,'原始数据'!$C$2:$C$513,-10))</x:f>
        <x:v>3.5508681797138912</x:v>
      </x:c>
      <x:c r="D251" s="29" t="n">
        <x:f>'权重'!$B$2*SUMIFS('原始数据'!$D$2:$D$513,'原始数据'!$A$2:$A$513,A251,'原始数据'!$B$2:$B$513,B251,'原始数据'!$C$2:$C$513,0)+'权重'!$B$3*SUMIFS('原始数据'!$D$2:$D$513,'原始数据'!$A$2:$A$513,A251,'原始数据'!$B$2:$B$513,B251,'原始数据'!$C$2:$C$513,-10)</x:f>
        <x:v>11.776155734503433</x:v>
      </x:c>
    </x:row>
    <x:row r="252">
      <x:c r="A252" s="28" t="n">
        <x:v>40</x:v>
      </x:c>
      <x:c r="B252" s="28" t="n">
        <x:v>30</x:v>
      </x:c>
      <x:c r="C252" s="29" t="n">
        <x:f>ABS(SUMIFS('原始数据'!$D$2:$D$513,'原始数据'!$A$2:$A$513,A252,'原始数据'!$B$2:$B$513,B252,'原始数据'!$C$2:$C$513,0)-SUMIFS('原始数据'!$D$2:$D$513,'原始数据'!$A$2:$A$513,A252,'原始数据'!$B$2:$B$513,B252,'原始数据'!$C$2:$C$513,-10))</x:f>
        <x:v>1.767896932563099</x:v>
      </x:c>
      <x:c r="D252" s="29" t="n">
        <x:f>'权重'!$B$2*SUMIFS('原始数据'!$D$2:$D$513,'原始数据'!$A$2:$A$513,A252,'原始数据'!$B$2:$B$513,B252,'原始数据'!$C$2:$C$513,0)+'权重'!$B$3*SUMIFS('原始数据'!$D$2:$D$513,'原始数据'!$A$2:$A$513,A252,'原始数据'!$B$2:$B$513,B252,'原始数据'!$C$2:$C$513,-10)</x:f>
        <x:v>13.25028884900113</x:v>
      </x:c>
    </x:row>
    <x:row r="253">
      <x:c r="A253" s="28" t="n">
        <x:v>40</x:v>
      </x:c>
      <x:c r="B253" s="28" t="n">
        <x:v>32</x:v>
      </x:c>
      <x:c r="C253" s="29" t="n">
        <x:f>ABS(SUMIFS('原始数据'!$D$2:$D$513,'原始数据'!$A$2:$A$513,A253,'原始数据'!$B$2:$B$513,B253,'原始数据'!$C$2:$C$513,0)-SUMIFS('原始数据'!$D$2:$D$513,'原始数据'!$A$2:$A$513,A253,'原始数据'!$B$2:$B$513,B253,'原始数据'!$C$2:$C$513,-10))</x:f>
        <x:v>3.8334888260380993</x:v>
      </x:c>
      <x:c r="D253" s="29" t="n">
        <x:f>'权重'!$B$2*SUMIFS('原始数据'!$D$2:$D$513,'原始数据'!$A$2:$A$513,A253,'原始数据'!$B$2:$B$513,B253,'原始数据'!$C$2:$C$513,0)+'权重'!$B$3*SUMIFS('原始数据'!$D$2:$D$513,'原始数据'!$A$2:$A$513,A253,'原始数据'!$B$2:$B$513,B253,'原始数据'!$C$2:$C$513,-10)</x:f>
        <x:v>13.695175734833128</x:v>
      </x:c>
    </x:row>
    <x:row r="254">
      <x:c r="A254" s="28" t="n">
        <x:v>40</x:v>
      </x:c>
      <x:c r="B254" s="28" t="n">
        <x:v>34</x:v>
      </x:c>
      <x:c r="C254" s="29" t="n">
        <x:f>ABS(SUMIFS('原始数据'!$D$2:$D$513,'原始数据'!$A$2:$A$513,A254,'原始数据'!$B$2:$B$513,B254,'原始数据'!$C$2:$C$513,0)-SUMIFS('原始数据'!$D$2:$D$513,'原始数据'!$A$2:$A$513,A254,'原始数据'!$B$2:$B$513,B254,'原始数据'!$C$2:$C$513,-10))</x:f>
        <x:v>2.7273831401476993</x:v>
      </x:c>
      <x:c r="D254" s="29" t="n">
        <x:f>'权重'!$B$2*SUMIFS('原始数据'!$D$2:$D$513,'原始数据'!$A$2:$A$513,A254,'原始数据'!$B$2:$B$513,B254,'原始数据'!$C$2:$C$513,0)+'权重'!$B$3*SUMIFS('原始数据'!$D$2:$D$513,'原始数据'!$A$2:$A$513,A254,'原始数据'!$B$2:$B$513,B254,'原始数据'!$C$2:$C$513,-10)</x:f>
        <x:v>13.232621069103908</x:v>
      </x:c>
    </x:row>
    <x:row r="255">
      <x:c r="A255" s="28" t="n">
        <x:v>40</x:v>
      </x:c>
      <x:c r="B255" s="28" t="n">
        <x:v>36</x:v>
      </x:c>
      <x:c r="C255" s="29" t="n">
        <x:f>ABS(SUMIFS('原始数据'!$D$2:$D$513,'原始数据'!$A$2:$A$513,A255,'原始数据'!$B$2:$B$513,B255,'原始数据'!$C$2:$C$513,0)-SUMIFS('原始数据'!$D$2:$D$513,'原始数据'!$A$2:$A$513,A255,'原始数据'!$B$2:$B$513,B255,'原始数据'!$C$2:$C$513,-10))</x:f>
        <x:v>1.7226197855310996</x:v>
      </x:c>
      <x:c r="D255" s="29" t="n">
        <x:f>'权重'!$B$2*SUMIFS('原始数据'!$D$2:$D$513,'原始数据'!$A$2:$A$513,A255,'原始数据'!$B$2:$B$513,B255,'原始数据'!$C$2:$C$513,0)+'权重'!$B$3*SUMIFS('原始数据'!$D$2:$D$513,'原始数据'!$A$2:$A$513,A255,'原始数据'!$B$2:$B$513,B255,'原始数据'!$C$2:$C$513,-10)</x:f>
        <x:v>12.99656892979873</x:v>
      </x:c>
    </x:row>
    <x:row r="256">
      <x:c r="A256" s="28" t="n">
        <x:v>40</x:v>
      </x:c>
      <x:c r="B256" s="28" t="n">
        <x:v>38</x:v>
      </x:c>
      <x:c r="C256" s="29" t="n">
        <x:f>ABS(SUMIFS('原始数据'!$D$2:$D$513,'原始数据'!$A$2:$A$513,A256,'原始数据'!$B$2:$B$513,B256,'原始数据'!$C$2:$C$513,0)-SUMIFS('原始数据'!$D$2:$D$513,'原始数据'!$A$2:$A$513,A256,'原始数据'!$B$2:$B$513,B256,'原始数据'!$C$2:$C$513,-10))</x:f>
        <x:v>1.6013316169568999</x:v>
      </x:c>
      <x:c r="D256" s="29" t="n">
        <x:f>'权重'!$B$2*SUMIFS('原始数据'!$D$2:$D$513,'原始数据'!$A$2:$A$513,A256,'原始数据'!$B$2:$B$513,B256,'原始数据'!$C$2:$C$513,0)+'权重'!$B$3*SUMIFS('原始数据'!$D$2:$D$513,'原始数据'!$A$2:$A$513,A256,'原始数据'!$B$2:$B$513,B256,'原始数据'!$C$2:$C$513,-10)</x:f>
        <x:v>12.78259317071047</x:v>
      </x:c>
    </x:row>
    <x:row r="257">
      <x:c r="A257" s="28" t="n">
        <x:v>40</x:v>
      </x:c>
      <x:c r="B257" s="28" t="n">
        <x:v>40</x:v>
      </x:c>
      <x:c r="C257" s="29" t="n">
        <x:f>ABS(SUMIFS('原始数据'!$D$2:$D$513,'原始数据'!$A$2:$A$513,A257,'原始数据'!$B$2:$B$513,B257,'原始数据'!$C$2:$C$513,0)-SUMIFS('原始数据'!$D$2:$D$513,'原始数据'!$A$2:$A$513,A257,'原始数据'!$B$2:$B$513,B257,'原始数据'!$C$2:$C$513,-10))</x:f>
        <x:v>1.269656545455101</x:v>
      </x:c>
      <x:c r="D257" s="29" t="n">
        <x:f>'权重'!$B$2*SUMIFS('原始数据'!$D$2:$D$513,'原始数据'!$A$2:$A$513,A257,'原始数据'!$B$2:$B$513,B257,'原始数据'!$C$2:$C$513,0)+'权重'!$B$3*SUMIFS('原始数据'!$D$2:$D$513,'原始数据'!$A$2:$A$513,A257,'原始数据'!$B$2:$B$513,B257,'原始数据'!$C$2:$C$513,-10)</x:f>
        <x:v>12.794805177467328</x:v>
      </x:c>
    </x:row>
  </x:sheetData>
  <x:pageMargins left="0.7" right="0.7" top="0.75" bottom="0.75" header="0.3" footer="0.3"/>
  <x:tableParts count="1">
    <x:tablePart xmlns:r="http://schemas.openxmlformats.org/officeDocument/2006/relationships" r:id="Redebe812cde54b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</x:cols>
  <x:sheetData>
    <x:row r="1">
      <x:c r="A1" s="8" t="str">
        <x:v>位移工况</x:v>
      </x:c>
      <x:c r="B1" s="8" t="str">
        <x:v>权重</x:v>
      </x:c>
    </x:row>
    <x:row r="2">
      <x:c r="A2" s="9" t="str">
        <x:v>a=0 mm</x:v>
      </x:c>
      <x:c r="B2" s="10" t="n">
        <x:v>0.7</x:v>
      </x:c>
    </x:row>
    <x:row r="3">
      <x:c r="A3" s="9" t="str">
        <x:v>a=-10 mm</x:v>
      </x:c>
      <x:c r="B3" s="10" t="n">
        <x:v>0.3</x:v>
      </x:c>
    </x:row>
  </x:sheetData>
  <x:pageMargins left="0.7" right="0.7" top="0.75" bottom="0.75" header="0.3" footer="0.3"/>
</x:worksheet>
</file>